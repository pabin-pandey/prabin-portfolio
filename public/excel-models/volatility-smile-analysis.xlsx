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prd-my.sharepoint.com/personal/tuu00197_temple_edu/Documents/Desktop/Generative AI/Start using Claude Code/claude_portfolio/Excel Project/"/>
    </mc:Choice>
  </mc:AlternateContent>
  <xr:revisionPtr revIDLastSave="0" documentId="8_{57797F4F-6F59-4648-8ED9-D1D09421C903}" xr6:coauthVersionLast="47" xr6:coauthVersionMax="47" xr10:uidLastSave="{00000000-0000-0000-0000-000000000000}"/>
  <bookViews>
    <workbookView xWindow="-110" yWindow="-110" windowWidth="19420" windowHeight="11500" firstSheet="2" activeTab="7" xr2:uid="{CDFB0500-E8FE-43B1-999B-199E7CB0591C}"/>
  </bookViews>
  <sheets>
    <sheet name="Call Skew" sheetId="13" r:id="rId1"/>
    <sheet name="Put Skew" sheetId="14" r:id="rId2"/>
    <sheet name="Skew" sheetId="12" r:id="rId3"/>
    <sheet name="K426" sheetId="5" r:id="rId4"/>
    <sheet name="K430" sheetId="4" r:id="rId5"/>
    <sheet name="K434" sheetId="3" r:id="rId6"/>
    <sheet name="K438" sheetId="9" r:id="rId7"/>
    <sheet name="K442" sheetId="6" r:id="rId8"/>
  </sheets>
  <definedNames>
    <definedName name="solver_adj" localSheetId="0" hidden="1">'Call Skew'!$H$34</definedName>
    <definedName name="solver_adj" localSheetId="1" hidden="1">'Put Skew'!$E$109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'Call Skew'!$H$3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'Call Skew'!$L$34</definedName>
    <definedName name="solver_opt" localSheetId="1" hidden="1">'Put Skew'!$L$109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2</definedName>
    <definedName name="solver_rel1" localSheetId="0" hidden="1">3</definedName>
    <definedName name="solver_rhs1" localSheetId="0" hidden="1">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09" i="14" l="1"/>
  <c r="J109" i="14" s="1"/>
  <c r="K109" i="14" s="1"/>
  <c r="L109" i="14" s="1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10" i="14"/>
  <c r="K111" i="14"/>
  <c r="K112" i="14"/>
  <c r="K113" i="14"/>
  <c r="K114" i="14"/>
  <c r="K115" i="14"/>
  <c r="K116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10" i="14"/>
  <c r="J111" i="14"/>
  <c r="J112" i="14"/>
  <c r="J113" i="14"/>
  <c r="J114" i="14"/>
  <c r="J115" i="14"/>
  <c r="J116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10" i="14"/>
  <c r="I111" i="14"/>
  <c r="I112" i="14"/>
  <c r="I113" i="14"/>
  <c r="I114" i="14"/>
  <c r="I115" i="14"/>
  <c r="I116" i="14"/>
  <c r="K3" i="14"/>
  <c r="L3" i="14" s="1"/>
  <c r="I3" i="14"/>
  <c r="L116" i="14" l="1"/>
  <c r="L115" i="14"/>
  <c r="L114" i="14"/>
  <c r="L113" i="14"/>
  <c r="L112" i="14"/>
  <c r="L111" i="14"/>
  <c r="L110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M5" i="14"/>
  <c r="J3" i="14"/>
  <c r="N2" i="14"/>
  <c r="N5" i="14" s="1"/>
  <c r="K3" i="13" l="1"/>
  <c r="L3" i="13" s="1"/>
  <c r="L34" i="13"/>
  <c r="I33" i="13"/>
  <c r="J33" i="13" s="1"/>
  <c r="K33" i="13" s="1"/>
  <c r="L33" i="13" s="1"/>
  <c r="I34" i="13"/>
  <c r="J34" i="13" s="1"/>
  <c r="K34" i="13" s="1"/>
  <c r="I35" i="13"/>
  <c r="J35" i="13" s="1"/>
  <c r="K35" i="13" s="1"/>
  <c r="L35" i="13" s="1"/>
  <c r="I36" i="13"/>
  <c r="J36" i="13"/>
  <c r="K36" i="13" s="1"/>
  <c r="L36" i="13" s="1"/>
  <c r="I37" i="13"/>
  <c r="J37" i="13" s="1"/>
  <c r="K37" i="13" s="1"/>
  <c r="L37" i="13" s="1"/>
  <c r="I38" i="13"/>
  <c r="J38" i="13" s="1"/>
  <c r="K38" i="13" s="1"/>
  <c r="L38" i="13" s="1"/>
  <c r="I39" i="13"/>
  <c r="J39" i="13" s="1"/>
  <c r="K39" i="13" s="1"/>
  <c r="L39" i="13" s="1"/>
  <c r="I40" i="13"/>
  <c r="J40" i="13"/>
  <c r="K40" i="13" s="1"/>
  <c r="L40" i="13" s="1"/>
  <c r="I41" i="13"/>
  <c r="J41" i="13" s="1"/>
  <c r="K41" i="13" s="1"/>
  <c r="L41" i="13" s="1"/>
  <c r="I42" i="13"/>
  <c r="J42" i="13" s="1"/>
  <c r="K42" i="13" s="1"/>
  <c r="L42" i="13" s="1"/>
  <c r="I43" i="13"/>
  <c r="J43" i="13" s="1"/>
  <c r="K43" i="13" s="1"/>
  <c r="L43" i="13" s="1"/>
  <c r="I44" i="13"/>
  <c r="J44" i="13"/>
  <c r="K44" i="13" s="1"/>
  <c r="L44" i="13" s="1"/>
  <c r="I45" i="13"/>
  <c r="J45" i="13" s="1"/>
  <c r="K45" i="13" s="1"/>
  <c r="L45" i="13" s="1"/>
  <c r="I46" i="13"/>
  <c r="J46" i="13" s="1"/>
  <c r="K46" i="13" s="1"/>
  <c r="L46" i="13" s="1"/>
  <c r="I47" i="13"/>
  <c r="J47" i="13" s="1"/>
  <c r="K47" i="13" s="1"/>
  <c r="L47" i="13" s="1"/>
  <c r="I48" i="13"/>
  <c r="J48" i="13"/>
  <c r="K48" i="13" s="1"/>
  <c r="L48" i="13" s="1"/>
  <c r="I49" i="13"/>
  <c r="J49" i="13" s="1"/>
  <c r="K49" i="13" s="1"/>
  <c r="L49" i="13" s="1"/>
  <c r="I50" i="13"/>
  <c r="J50" i="13" s="1"/>
  <c r="K50" i="13" s="1"/>
  <c r="L50" i="13" s="1"/>
  <c r="I51" i="13"/>
  <c r="J51" i="13" s="1"/>
  <c r="K51" i="13" s="1"/>
  <c r="L51" i="13" s="1"/>
  <c r="I52" i="13"/>
  <c r="J52" i="13"/>
  <c r="K52" i="13" s="1"/>
  <c r="L52" i="13" s="1"/>
  <c r="I53" i="13"/>
  <c r="J53" i="13" s="1"/>
  <c r="K53" i="13" s="1"/>
  <c r="L53" i="13" s="1"/>
  <c r="I54" i="13"/>
  <c r="J54" i="13" s="1"/>
  <c r="K54" i="13" s="1"/>
  <c r="L54" i="13" s="1"/>
  <c r="I55" i="13"/>
  <c r="J55" i="13" s="1"/>
  <c r="K55" i="13" s="1"/>
  <c r="L55" i="13" s="1"/>
  <c r="I56" i="13"/>
  <c r="J56" i="13"/>
  <c r="K56" i="13" s="1"/>
  <c r="L56" i="13" s="1"/>
  <c r="I57" i="13"/>
  <c r="J57" i="13" s="1"/>
  <c r="K57" i="13" s="1"/>
  <c r="L57" i="13" s="1"/>
  <c r="I58" i="13"/>
  <c r="J58" i="13" s="1"/>
  <c r="K58" i="13" s="1"/>
  <c r="L58" i="13" s="1"/>
  <c r="I59" i="13"/>
  <c r="J59" i="13" s="1"/>
  <c r="K59" i="13" s="1"/>
  <c r="L59" i="13" s="1"/>
  <c r="I60" i="13"/>
  <c r="J60" i="13" s="1"/>
  <c r="K60" i="13" s="1"/>
  <c r="L60" i="13" s="1"/>
  <c r="I61" i="13"/>
  <c r="J61" i="13" s="1"/>
  <c r="K61" i="13" s="1"/>
  <c r="L61" i="13" s="1"/>
  <c r="I62" i="13"/>
  <c r="J62" i="13" s="1"/>
  <c r="K62" i="13" s="1"/>
  <c r="L62" i="13" s="1"/>
  <c r="I63" i="13"/>
  <c r="J63" i="13" s="1"/>
  <c r="K63" i="13" s="1"/>
  <c r="L63" i="13" s="1"/>
  <c r="I64" i="13"/>
  <c r="J64" i="13" s="1"/>
  <c r="K64" i="13" s="1"/>
  <c r="L64" i="13" s="1"/>
  <c r="I65" i="13"/>
  <c r="J65" i="13" s="1"/>
  <c r="K65" i="13" s="1"/>
  <c r="L65" i="13" s="1"/>
  <c r="I66" i="13"/>
  <c r="J66" i="13" s="1"/>
  <c r="K66" i="13" s="1"/>
  <c r="L66" i="13" s="1"/>
  <c r="I67" i="13"/>
  <c r="J67" i="13" s="1"/>
  <c r="K67" i="13" s="1"/>
  <c r="L67" i="13" s="1"/>
  <c r="I68" i="13"/>
  <c r="J68" i="13"/>
  <c r="K68" i="13" s="1"/>
  <c r="L68" i="13" s="1"/>
  <c r="I69" i="13"/>
  <c r="J69" i="13" s="1"/>
  <c r="K69" i="13" s="1"/>
  <c r="L69" i="13" s="1"/>
  <c r="I70" i="13"/>
  <c r="J70" i="13" s="1"/>
  <c r="K70" i="13" s="1"/>
  <c r="L70" i="13" s="1"/>
  <c r="I71" i="13"/>
  <c r="J71" i="13" s="1"/>
  <c r="K71" i="13" s="1"/>
  <c r="L71" i="13" s="1"/>
  <c r="I72" i="13"/>
  <c r="J72" i="13" s="1"/>
  <c r="K72" i="13" s="1"/>
  <c r="L72" i="13" s="1"/>
  <c r="I73" i="13"/>
  <c r="J73" i="13" s="1"/>
  <c r="K73" i="13" s="1"/>
  <c r="L73" i="13" s="1"/>
  <c r="I74" i="13"/>
  <c r="J74" i="13" s="1"/>
  <c r="K74" i="13" s="1"/>
  <c r="L74" i="13" s="1"/>
  <c r="I75" i="13"/>
  <c r="J75" i="13" s="1"/>
  <c r="K75" i="13" s="1"/>
  <c r="L75" i="13" s="1"/>
  <c r="I76" i="13"/>
  <c r="J76" i="13"/>
  <c r="K76" i="13" s="1"/>
  <c r="L76" i="13" s="1"/>
  <c r="I77" i="13"/>
  <c r="J77" i="13" s="1"/>
  <c r="K77" i="13" s="1"/>
  <c r="L77" i="13" s="1"/>
  <c r="I78" i="13"/>
  <c r="J78" i="13" s="1"/>
  <c r="K78" i="13" s="1"/>
  <c r="L78" i="13" s="1"/>
  <c r="I79" i="13"/>
  <c r="J79" i="13" s="1"/>
  <c r="K79" i="13" s="1"/>
  <c r="L79" i="13" s="1"/>
  <c r="I80" i="13"/>
  <c r="J80" i="13" s="1"/>
  <c r="K80" i="13" s="1"/>
  <c r="L80" i="13" s="1"/>
  <c r="I81" i="13"/>
  <c r="J81" i="13" s="1"/>
  <c r="K81" i="13" s="1"/>
  <c r="L81" i="13" s="1"/>
  <c r="I82" i="13"/>
  <c r="J82" i="13" s="1"/>
  <c r="K82" i="13" s="1"/>
  <c r="L82" i="13" s="1"/>
  <c r="I83" i="13"/>
  <c r="J83" i="13" s="1"/>
  <c r="K83" i="13" s="1"/>
  <c r="L83" i="13" s="1"/>
  <c r="I84" i="13"/>
  <c r="J84" i="13" s="1"/>
  <c r="K84" i="13" s="1"/>
  <c r="L84" i="13" s="1"/>
  <c r="I85" i="13"/>
  <c r="J85" i="13" s="1"/>
  <c r="K85" i="13" s="1"/>
  <c r="L85" i="13" s="1"/>
  <c r="I86" i="13"/>
  <c r="J86" i="13" s="1"/>
  <c r="K86" i="13" s="1"/>
  <c r="L86" i="13" s="1"/>
  <c r="I87" i="13"/>
  <c r="J87" i="13" s="1"/>
  <c r="K87" i="13" s="1"/>
  <c r="L87" i="13" s="1"/>
  <c r="I88" i="13"/>
  <c r="J88" i="13" s="1"/>
  <c r="K88" i="13" s="1"/>
  <c r="L88" i="13" s="1"/>
  <c r="I89" i="13"/>
  <c r="J89" i="13" s="1"/>
  <c r="K89" i="13" s="1"/>
  <c r="L89" i="13" s="1"/>
  <c r="I90" i="13"/>
  <c r="J90" i="13" s="1"/>
  <c r="K90" i="13" s="1"/>
  <c r="L90" i="13" s="1"/>
  <c r="I91" i="13"/>
  <c r="J91" i="13" s="1"/>
  <c r="K91" i="13" s="1"/>
  <c r="L91" i="13" s="1"/>
  <c r="I92" i="13"/>
  <c r="J92" i="13" s="1"/>
  <c r="K92" i="13" s="1"/>
  <c r="L92" i="13" s="1"/>
  <c r="I93" i="13"/>
  <c r="J93" i="13" s="1"/>
  <c r="K93" i="13" s="1"/>
  <c r="L93" i="13" s="1"/>
  <c r="I94" i="13"/>
  <c r="J94" i="13" s="1"/>
  <c r="K94" i="13" s="1"/>
  <c r="L94" i="13" s="1"/>
  <c r="I95" i="13"/>
  <c r="J95" i="13" s="1"/>
  <c r="K95" i="13" s="1"/>
  <c r="L95" i="13" s="1"/>
  <c r="I96" i="13"/>
  <c r="J96" i="13" s="1"/>
  <c r="K96" i="13" s="1"/>
  <c r="L96" i="13" s="1"/>
  <c r="I97" i="13"/>
  <c r="J97" i="13" s="1"/>
  <c r="K97" i="13" s="1"/>
  <c r="L97" i="13" s="1"/>
  <c r="I98" i="13"/>
  <c r="J98" i="13" s="1"/>
  <c r="K98" i="13" s="1"/>
  <c r="L98" i="13" s="1"/>
  <c r="I99" i="13"/>
  <c r="J99" i="13" s="1"/>
  <c r="K99" i="13" s="1"/>
  <c r="L99" i="13" s="1"/>
  <c r="I100" i="13"/>
  <c r="J100" i="13" s="1"/>
  <c r="K100" i="13" s="1"/>
  <c r="L100" i="13" s="1"/>
  <c r="I101" i="13"/>
  <c r="J101" i="13" s="1"/>
  <c r="K101" i="13" s="1"/>
  <c r="L101" i="13" s="1"/>
  <c r="I102" i="13"/>
  <c r="J102" i="13" s="1"/>
  <c r="K102" i="13" s="1"/>
  <c r="L102" i="13" s="1"/>
  <c r="I30" i="13"/>
  <c r="J30" i="13" s="1"/>
  <c r="K30" i="13" s="1"/>
  <c r="L30" i="13" s="1"/>
  <c r="I32" i="13"/>
  <c r="J32" i="13" s="1"/>
  <c r="K32" i="13" s="1"/>
  <c r="L32" i="13" s="1"/>
  <c r="I4" i="13"/>
  <c r="J4" i="13" s="1"/>
  <c r="K4" i="13" s="1"/>
  <c r="L4" i="13" s="1"/>
  <c r="I3" i="13"/>
  <c r="J3" i="13" s="1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3" i="13"/>
  <c r="N2" i="13"/>
  <c r="M5" i="13" s="1"/>
  <c r="N5" i="13" l="1"/>
</calcChain>
</file>

<file path=xl/sharedStrings.xml><?xml version="1.0" encoding="utf-8"?>
<sst xmlns="http://schemas.openxmlformats.org/spreadsheetml/2006/main" count="1681" uniqueCount="709">
  <si>
    <t>Contract Name</t>
  </si>
  <si>
    <t>Last Trade Date</t>
  </si>
  <si>
    <t>Strike</t>
  </si>
  <si>
    <t>Last Price</t>
  </si>
  <si>
    <t>Bid</t>
  </si>
  <si>
    <t>Ask</t>
  </si>
  <si>
    <t>Change</t>
  </si>
  <si>
    <t>% Change</t>
  </si>
  <si>
    <t>Volume</t>
  </si>
  <si>
    <t>Open Interest</t>
  </si>
  <si>
    <t>Implied Volatility</t>
  </si>
  <si>
    <t>-</t>
  </si>
  <si>
    <t>Underlying</t>
  </si>
  <si>
    <t>Maturity</t>
  </si>
  <si>
    <t>r</t>
  </si>
  <si>
    <t>q</t>
  </si>
  <si>
    <t>PV(K)</t>
  </si>
  <si>
    <t>SS</t>
  </si>
  <si>
    <t>d1</t>
  </si>
  <si>
    <t>d2</t>
  </si>
  <si>
    <t>c</t>
  </si>
  <si>
    <t>error</t>
  </si>
  <si>
    <t>Expire Date</t>
  </si>
  <si>
    <r>
      <t>Calls</t>
    </r>
    <r>
      <rPr>
        <sz val="10"/>
        <color theme="1"/>
        <rFont val="Calibri"/>
        <family val="2"/>
        <scheme val="minor"/>
      </rPr>
      <t>forOctober 29, 2021</t>
    </r>
  </si>
  <si>
    <t>SPY211029C00375000</t>
  </si>
  <si>
    <t>2021-09-10 4:07PM EDT</t>
  </si>
  <si>
    <t>SPY211029C00380000</t>
  </si>
  <si>
    <t>2021-09-21 10:26AM EDT</t>
  </si>
  <si>
    <t>SPY211029C00385000</t>
  </si>
  <si>
    <t>2021-09-16 3:58PM EDT</t>
  </si>
  <si>
    <t>SPY211029C00390000</t>
  </si>
  <si>
    <t>2021-09-20 12:13AM EDT</t>
  </si>
  <si>
    <t>SPY211029C00395000</t>
  </si>
  <si>
    <t>2021-09-20 3:57PM EDT</t>
  </si>
  <si>
    <t>SPY211029C00400000</t>
  </si>
  <si>
    <t>2021-09-21 9:37AM EDT</t>
  </si>
  <si>
    <t>SPY211029C00402000</t>
  </si>
  <si>
    <t>2021-09-20 1:19PM EDT</t>
  </si>
  <si>
    <t>SPY211029C00403000</t>
  </si>
  <si>
    <t>SPY211029C00405000</t>
  </si>
  <si>
    <t>2021-09-20 2:42PM EDT</t>
  </si>
  <si>
    <t>SPY211029C00406000</t>
  </si>
  <si>
    <t>2021-09-20 12:04PM EDT</t>
  </si>
  <si>
    <t>SPY211029C00408000</t>
  </si>
  <si>
    <t>SPY211029C00409000</t>
  </si>
  <si>
    <t>2021-09-20 10:58AM EDT</t>
  </si>
  <si>
    <t>SPY211029C00410000</t>
  </si>
  <si>
    <t>2021-09-21 2:54PM EDT</t>
  </si>
  <si>
    <t>SPY211029C00414000</t>
  </si>
  <si>
    <t>2021-09-20 9:30AM EDT</t>
  </si>
  <si>
    <t>SPY211029C00415000</t>
  </si>
  <si>
    <t>2021-09-21 3:14PM EDT</t>
  </si>
  <si>
    <t>SPY211029C00416000</t>
  </si>
  <si>
    <t>2021-09-20 9:52AM EDT</t>
  </si>
  <si>
    <t>SPY211029C00417500</t>
  </si>
  <si>
    <t>2021-09-20 12:15PM EDT</t>
  </si>
  <si>
    <t>SPY211029C00420000</t>
  </si>
  <si>
    <t>2021-09-21 3:58PM EDT</t>
  </si>
  <si>
    <t>SPY211029C00421000</t>
  </si>
  <si>
    <t>2021-09-21 3:29PM EDT</t>
  </si>
  <si>
    <t>SPY211029C00422500</t>
  </si>
  <si>
    <t>2021-09-17 2:03PM EDT</t>
  </si>
  <si>
    <t>SPY211029C00424000</t>
  </si>
  <si>
    <t>2021-09-21 10:09AM EDT</t>
  </si>
  <si>
    <t>SPY211029C00425000</t>
  </si>
  <si>
    <t>2021-09-21 3:56PM EDT</t>
  </si>
  <si>
    <t>SPY211029C00426000</t>
  </si>
  <si>
    <t>SPY211029C00427000</t>
  </si>
  <si>
    <t>2021-09-21 4:11PM EDT</t>
  </si>
  <si>
    <t>SPY211029C00427500</t>
  </si>
  <si>
    <t>2021-09-21 2:23PM EDT</t>
  </si>
  <si>
    <t>SPY211029C00428000</t>
  </si>
  <si>
    <t>2021-09-21 11:57AM EDT</t>
  </si>
  <si>
    <t>SPY211029C00430000</t>
  </si>
  <si>
    <t>2021-09-21 4:08PM EDT</t>
  </si>
  <si>
    <t>SPY211029C00431000</t>
  </si>
  <si>
    <t>2021-09-21 4:00PM EDT</t>
  </si>
  <si>
    <t>SPY211029C00432000</t>
  </si>
  <si>
    <t>2021-09-21 3:59PM EDT</t>
  </si>
  <si>
    <t>SPY211029C00432500</t>
  </si>
  <si>
    <t>2021-09-21 3:55PM EDT</t>
  </si>
  <si>
    <t>SPY211029C00434000</t>
  </si>
  <si>
    <t>2021-09-21 4:09PM EDT</t>
  </si>
  <si>
    <t>SPY211029C00435000</t>
  </si>
  <si>
    <t>2021-09-21 4:12PM EDT</t>
  </si>
  <si>
    <t>SPY211029C00436000</t>
  </si>
  <si>
    <t>SPY211029C00437000</t>
  </si>
  <si>
    <t>2021-09-21 4:10PM EDT</t>
  </si>
  <si>
    <t>SPY211029C00437500</t>
  </si>
  <si>
    <t>2021-09-21 3:24PM EDT</t>
  </si>
  <si>
    <t>SPY211029C00438000</t>
  </si>
  <si>
    <t>2021-09-21 4:07PM EDT</t>
  </si>
  <si>
    <t>SPY211029C00439000</t>
  </si>
  <si>
    <t>SPY211029C00440000</t>
  </si>
  <si>
    <t>SPY211029C00441000</t>
  </si>
  <si>
    <t>SPY211029C00442000</t>
  </si>
  <si>
    <t>2021-09-21 4:03PM EDT</t>
  </si>
  <si>
    <t>SPY211029C00442500</t>
  </si>
  <si>
    <t>SPY211029C00443000</t>
  </si>
  <si>
    <t>SPY211029C00444000</t>
  </si>
  <si>
    <t>2021-09-21 3:57PM EDT</t>
  </si>
  <si>
    <t>SPY211029C00445000</t>
  </si>
  <si>
    <t>SPY211029C00446000</t>
  </si>
  <si>
    <t>SPY211029C00447000</t>
  </si>
  <si>
    <t>2021-09-21 2:36PM EDT</t>
  </si>
  <si>
    <t>SPY211029C00447500</t>
  </si>
  <si>
    <t>2021-09-21 1:50PM EDT</t>
  </si>
  <si>
    <t>SPY211029C00448000</t>
  </si>
  <si>
    <t>2021-09-21 2:55PM EDT</t>
  </si>
  <si>
    <t>SPY211029C00449000</t>
  </si>
  <si>
    <t>2021-09-21 4:13PM EDT</t>
  </si>
  <si>
    <t>SPY211029C00450000</t>
  </si>
  <si>
    <t>SPY211029C00451000</t>
  </si>
  <si>
    <t>SPY211029C00452000</t>
  </si>
  <si>
    <t>2021-09-21 4:06PM EDT</t>
  </si>
  <si>
    <t>SPY211029C00452500</t>
  </si>
  <si>
    <t>2021-09-21 2:50PM EDT</t>
  </si>
  <si>
    <t>SPY211029C00453000</t>
  </si>
  <si>
    <t>2021-09-21 3:53PM EDT</t>
  </si>
  <si>
    <t>SPY211029C00454000</t>
  </si>
  <si>
    <t>SPY211029C00455000</t>
  </si>
  <si>
    <t>2021-09-21 4:04PM EDT</t>
  </si>
  <si>
    <t>SPY211029C00456000</t>
  </si>
  <si>
    <t>SPY211029C00457000</t>
  </si>
  <si>
    <t>2021-09-21 4:02PM EDT</t>
  </si>
  <si>
    <t>SPY211029C00457500</t>
  </si>
  <si>
    <t>SPY211029C00458000</t>
  </si>
  <si>
    <t>2021-09-21 3:54PM EDT</t>
  </si>
  <si>
    <t>SPY211029C00459000</t>
  </si>
  <si>
    <t>2021-09-21 3:27PM EDT</t>
  </si>
  <si>
    <t>SPY211029C00460000</t>
  </si>
  <si>
    <t>SPY211029C00461000</t>
  </si>
  <si>
    <t>2021-09-21 3:15PM EDT</t>
  </si>
  <si>
    <t>SPY211029C00462000</t>
  </si>
  <si>
    <t>SPY211029C00462500</t>
  </si>
  <si>
    <t>SPY211029C00463000</t>
  </si>
  <si>
    <t>SPY211029C00464000</t>
  </si>
  <si>
    <t>SPY211029C00465000</t>
  </si>
  <si>
    <t>SPY211029C00466000</t>
  </si>
  <si>
    <t>SPY211029C00467000</t>
  </si>
  <si>
    <t>SPY211029C00467500</t>
  </si>
  <si>
    <t>SPY211029C00468000</t>
  </si>
  <si>
    <t>SPY211029C00469000</t>
  </si>
  <si>
    <t>2021-09-21 2:56PM EDT</t>
  </si>
  <si>
    <t>SPY211029C00470000</t>
  </si>
  <si>
    <t>SPY211029C00471000</t>
  </si>
  <si>
    <t>SPY211029C00472000</t>
  </si>
  <si>
    <t>2021-09-21 11:28AM EDT</t>
  </si>
  <si>
    <t>SPY211029C00472500</t>
  </si>
  <si>
    <t>2021-09-20 10:40AM EDT</t>
  </si>
  <si>
    <t>SPY211029C00473000</t>
  </si>
  <si>
    <t>2021-09-21 2:29PM EDT</t>
  </si>
  <si>
    <t>SPY211029C00474000</t>
  </si>
  <si>
    <t>2021-09-20 1:49PM EDT</t>
  </si>
  <si>
    <t>SPY211029C00475000</t>
  </si>
  <si>
    <t>SPY211029C00476000</t>
  </si>
  <si>
    <t>SPY211029C00477000</t>
  </si>
  <si>
    <t>2021-09-21 10:35AM EDT</t>
  </si>
  <si>
    <t>SPY211029C00477500</t>
  </si>
  <si>
    <t>2021-09-21 2:25PM EDT</t>
  </si>
  <si>
    <t>SPY211029C00478000</t>
  </si>
  <si>
    <t>2021-09-20 3:29PM EDT</t>
  </si>
  <si>
    <t>SPY211029C00479000</t>
  </si>
  <si>
    <t>SPY211029C00480000</t>
  </si>
  <si>
    <t>2021-09-21 4:05PM EDT</t>
  </si>
  <si>
    <t>SPY211029C00482000</t>
  </si>
  <si>
    <t>SPY211029C00482500</t>
  </si>
  <si>
    <t>SPY211029C00483000</t>
  </si>
  <si>
    <t>2021-09-20 2:05PM EDT</t>
  </si>
  <si>
    <t>SPY211029C00484000</t>
  </si>
  <si>
    <t>2021-09-21 2:34PM EDT</t>
  </si>
  <si>
    <t>SPY211029C00485000</t>
  </si>
  <si>
    <t>2021-09-20 12:01PM EDT</t>
  </si>
  <si>
    <t>SPY211029C00486000</t>
  </si>
  <si>
    <t>2021-09-20 12:14AM EDT</t>
  </si>
  <si>
    <t>SPY211029C00487000</t>
  </si>
  <si>
    <t>SPY211029C00488000</t>
  </si>
  <si>
    <t>SPY211029C00490000</t>
  </si>
  <si>
    <t>2021-09-21 3:18PM EDT</t>
  </si>
  <si>
    <t>SPY211029C00495000</t>
  </si>
  <si>
    <t>2021-09-20 4:11PM EDT</t>
  </si>
  <si>
    <t>SPY211029C00500000</t>
  </si>
  <si>
    <t>2021-09-20 4:12PM EDT</t>
  </si>
  <si>
    <t>SPY211029C00510000</t>
  </si>
  <si>
    <t>2021-09-20 2:16PM EDT</t>
  </si>
  <si>
    <t>SPY211029C00520000</t>
  </si>
  <si>
    <t>2021-09-20 10:06AM EDT</t>
  </si>
  <si>
    <t>SPY211029C00540000</t>
  </si>
  <si>
    <t>2021-09-20 3:35PM EDT</t>
  </si>
  <si>
    <r>
      <t>Puts</t>
    </r>
    <r>
      <rPr>
        <sz val="10"/>
        <color theme="1"/>
        <rFont val="Calibri"/>
        <family val="2"/>
        <scheme val="minor"/>
      </rPr>
      <t>forOctober 29, 2021</t>
    </r>
  </si>
  <si>
    <t>SPY211029P00240000</t>
  </si>
  <si>
    <t>2021-09-21 9:30AM EDT</t>
  </si>
  <si>
    <t>SPY211029P00250000</t>
  </si>
  <si>
    <t>2021-09-21 2:22PM EDT</t>
  </si>
  <si>
    <t>SPY211029P00270000</t>
  </si>
  <si>
    <t>2021-09-20 12:20PM EDT</t>
  </si>
  <si>
    <t>SPY211029P00275000</t>
  </si>
  <si>
    <t>2021-09-21 9:46AM EDT</t>
  </si>
  <si>
    <t>SPY211029P00280000</t>
  </si>
  <si>
    <t>2021-09-21 12:24PM EDT</t>
  </si>
  <si>
    <t>SPY211029P00285000</t>
  </si>
  <si>
    <t>2021-09-20 2:06PM EDT</t>
  </si>
  <si>
    <t>SPY211029P00290000</t>
  </si>
  <si>
    <t>2021-09-20 2:54PM EDT</t>
  </si>
  <si>
    <t>SPY211029P00295000</t>
  </si>
  <si>
    <t>2021-09-21 12:56PM EDT</t>
  </si>
  <si>
    <t>SPY211029P00300000</t>
  </si>
  <si>
    <t>SPY211029P00305000</t>
  </si>
  <si>
    <t>2021-09-20 3:52PM EDT</t>
  </si>
  <si>
    <t>SPY211029P00310000</t>
  </si>
  <si>
    <t>2021-09-21 3:42PM EDT</t>
  </si>
  <si>
    <t>SPY211029P00315000</t>
  </si>
  <si>
    <t>2021-09-21 11:33AM EDT</t>
  </si>
  <si>
    <t>SPY211029P00320000</t>
  </si>
  <si>
    <t>2021-09-21 11:25AM EDT</t>
  </si>
  <si>
    <t>SPY211029P00325000</t>
  </si>
  <si>
    <t>2021-09-21 12:00PM EDT</t>
  </si>
  <si>
    <t>SPY211029P00330000</t>
  </si>
  <si>
    <t>2021-09-21 3:41PM EDT</t>
  </si>
  <si>
    <t>SPY211029P00335000</t>
  </si>
  <si>
    <t>2021-09-21 11:39AM EDT</t>
  </si>
  <si>
    <t>SPY211029P00340000</t>
  </si>
  <si>
    <t>2021-09-21 12:55PM EDT</t>
  </si>
  <si>
    <t>SPY211029P00345000</t>
  </si>
  <si>
    <t>2021-09-21 4:14PM EDT</t>
  </si>
  <si>
    <t>SPY211029P00350000</t>
  </si>
  <si>
    <t>2021-09-21 1:56PM EDT</t>
  </si>
  <si>
    <t>SPY211029P00355000</t>
  </si>
  <si>
    <t>SPY211029P00358000</t>
  </si>
  <si>
    <t>2021-09-21 1:25PM EDT</t>
  </si>
  <si>
    <t>SPY211029P00360000</t>
  </si>
  <si>
    <t>SPY211029P00362000</t>
  </si>
  <si>
    <t>SPY211029P00364000</t>
  </si>
  <si>
    <t>SPY211029P00365000</t>
  </si>
  <si>
    <t>SPY211029P00366000</t>
  </si>
  <si>
    <t>2021-09-20 3:13PM EDT</t>
  </si>
  <si>
    <t>SPY211029P00368000</t>
  </si>
  <si>
    <t>2021-09-21 9:55AM EDT</t>
  </si>
  <si>
    <t>SPY211029P00370000</t>
  </si>
  <si>
    <t>2021-09-21 1:55PM EDT</t>
  </si>
  <si>
    <t>SPY211029P00372000</t>
  </si>
  <si>
    <t>SPY211029P00375000</t>
  </si>
  <si>
    <t>SPY211029P00380000</t>
  </si>
  <si>
    <t>2021-09-21 3:47PM EDT</t>
  </si>
  <si>
    <t>SPY211029P00385000</t>
  </si>
  <si>
    <t>SPY211029P00390000</t>
  </si>
  <si>
    <t>SPY211029P00395000</t>
  </si>
  <si>
    <t>SPY211029P00398000</t>
  </si>
  <si>
    <t>SPY211029P00400000</t>
  </si>
  <si>
    <t>SPY211029P00402000</t>
  </si>
  <si>
    <t>SPY211029P00403000</t>
  </si>
  <si>
    <t>2021-09-21 3:34PM EDT</t>
  </si>
  <si>
    <t>SPY211029P00404000</t>
  </si>
  <si>
    <t>2021-09-21 3:45PM EDT</t>
  </si>
  <si>
    <t>SPY211029P00405000</t>
  </si>
  <si>
    <t>SPY211029P00406000</t>
  </si>
  <si>
    <t>2021-09-21 3:00PM EDT</t>
  </si>
  <si>
    <t>SPY211029P00408000</t>
  </si>
  <si>
    <t>SPY211029P00409000</t>
  </si>
  <si>
    <t>SPY211029P00410000</t>
  </si>
  <si>
    <t>SPY211029P00411000</t>
  </si>
  <si>
    <t>SPY211029P00412000</t>
  </si>
  <si>
    <t>2021-09-21 3:23PM EDT</t>
  </si>
  <si>
    <t>SPY211029P00413000</t>
  </si>
  <si>
    <t>SPY211029P00414000</t>
  </si>
  <si>
    <t>SPY211029P00415000</t>
  </si>
  <si>
    <t>SPY211029P00416000</t>
  </si>
  <si>
    <t>SPY211029P00417000</t>
  </si>
  <si>
    <t>SPY211029P00417500</t>
  </si>
  <si>
    <t>SPY211029P00418000</t>
  </si>
  <si>
    <t>2021-09-21 2:51PM EDT</t>
  </si>
  <si>
    <t>SPY211029P00419000</t>
  </si>
  <si>
    <t>SPY211029P00420000</t>
  </si>
  <si>
    <t>SPY211029P00421000</t>
  </si>
  <si>
    <t>SPY211029P00422000</t>
  </si>
  <si>
    <t>2021-09-21 4:01PM EDT</t>
  </si>
  <si>
    <t>SPY211029P00422500</t>
  </si>
  <si>
    <t>SPY211029P00423000</t>
  </si>
  <si>
    <t>2021-09-21 2:43PM EDT</t>
  </si>
  <si>
    <t>SPY211029P00424000</t>
  </si>
  <si>
    <t>SPY211029P00425000</t>
  </si>
  <si>
    <t>SPY211029P00426000</t>
  </si>
  <si>
    <t>2021-09-21 3:46PM EDT</t>
  </si>
  <si>
    <t>SPY211029P00427000</t>
  </si>
  <si>
    <t>SPY211029P00427500</t>
  </si>
  <si>
    <t>2021-09-21 2:10PM EDT</t>
  </si>
  <si>
    <t>SPY211029P00428000</t>
  </si>
  <si>
    <t>SPY211029P00429000</t>
  </si>
  <si>
    <t>2021-09-21 2:32PM EDT</t>
  </si>
  <si>
    <t>SPY211029P00430000</t>
  </si>
  <si>
    <t>SPY211029P00431000</t>
  </si>
  <si>
    <t>2021-09-21 1:52PM EDT</t>
  </si>
  <si>
    <t>SPY211029P00432000</t>
  </si>
  <si>
    <t>SPY211029P00432500</t>
  </si>
  <si>
    <t>2021-09-21 1:49PM EDT</t>
  </si>
  <si>
    <t>SPY211029P00433000</t>
  </si>
  <si>
    <t>SPY211029P00434000</t>
  </si>
  <si>
    <t>SPY211029P00435000</t>
  </si>
  <si>
    <t>SPY211029P00436000</t>
  </si>
  <si>
    <t>SPY211029P00437000</t>
  </si>
  <si>
    <t>SPY211029P00437500</t>
  </si>
  <si>
    <t>SPY211029P00438000</t>
  </si>
  <si>
    <t>2021-09-21 11:50AM EDT</t>
  </si>
  <si>
    <t>SPY211029P00439000</t>
  </si>
  <si>
    <t>2021-09-21 1:00PM EDT</t>
  </si>
  <si>
    <t>SPY211029P00440000</t>
  </si>
  <si>
    <t>SPY211029P00441000</t>
  </si>
  <si>
    <t>SPY211029P00442000</t>
  </si>
  <si>
    <t>SPY211029P00442500</t>
  </si>
  <si>
    <t>SPY211029P00443000</t>
  </si>
  <si>
    <t>2021-09-21 12:07PM EDT</t>
  </si>
  <si>
    <t>SPY211029P00444000</t>
  </si>
  <si>
    <t>SPY211029P00445000</t>
  </si>
  <si>
    <t>SPY211029P00446000</t>
  </si>
  <si>
    <t>SPY211029P00447000</t>
  </si>
  <si>
    <t>SPY211029P00447500</t>
  </si>
  <si>
    <t>2021-09-21 10:53AM EDT</t>
  </si>
  <si>
    <t>SPY211029P00448000</t>
  </si>
  <si>
    <t>2021-09-21 12:25PM EDT</t>
  </si>
  <si>
    <t>SPY211029P00449000</t>
  </si>
  <si>
    <t>SPY211029P00450000</t>
  </si>
  <si>
    <t>SPY211029P00451000</t>
  </si>
  <si>
    <t>2021-09-20 10:39AM EDT</t>
  </si>
  <si>
    <t>SPY211029P00452000</t>
  </si>
  <si>
    <t>2021-09-21 10:51AM EDT</t>
  </si>
  <si>
    <t>SPY211029P00452500</t>
  </si>
  <si>
    <t>2021-09-17 11:14AM EDT</t>
  </si>
  <si>
    <t>SPY211029P00453000</t>
  </si>
  <si>
    <t>2021-09-20 11:42AM EDT</t>
  </si>
  <si>
    <t>SPY211029P00454000</t>
  </si>
  <si>
    <t>2021-09-21 9:56AM EDT</t>
  </si>
  <si>
    <t>SPY211029P00455000</t>
  </si>
  <si>
    <t>2021-09-21 10:57AM EDT</t>
  </si>
  <si>
    <t>SPY211029P00456000</t>
  </si>
  <si>
    <t>2021-09-21 9:49AM EDT</t>
  </si>
  <si>
    <t>SPY211029P00457000</t>
  </si>
  <si>
    <t>2021-09-20 12:11AM EDT</t>
  </si>
  <si>
    <t>SPY211029P00457500</t>
  </si>
  <si>
    <t>2021-09-17 10:32AM EDT</t>
  </si>
  <si>
    <t>SPY211029P00458000</t>
  </si>
  <si>
    <t>SPY211029P00459000</t>
  </si>
  <si>
    <t>SPY211029P00460000</t>
  </si>
  <si>
    <t>SPY211029P00462000</t>
  </si>
  <si>
    <t>2021-09-20 9:55AM EDT</t>
  </si>
  <si>
    <t>SPY211029P00462500</t>
  </si>
  <si>
    <t>SPY211029P00464000</t>
  </si>
  <si>
    <t>2021-09-20 12:12AM EDT</t>
  </si>
  <si>
    <t>SPY211029P00465000</t>
  </si>
  <si>
    <t>2021-09-21 1:53PM EDT</t>
  </si>
  <si>
    <t>SPY211029P00466000</t>
  </si>
  <si>
    <t>SPY211029P00467500</t>
  </si>
  <si>
    <t>SPY211029P00468000</t>
  </si>
  <si>
    <t>SPY211029P00470000</t>
  </si>
  <si>
    <t>SPY211029P00480000</t>
  </si>
  <si>
    <t>2021-09-17 3:39PM EDT</t>
  </si>
  <si>
    <t>SPY211029P00490000</t>
  </si>
  <si>
    <t>SPY211029P00500000</t>
  </si>
  <si>
    <t>Moneiness</t>
  </si>
  <si>
    <t>Strike:426.00</t>
  </si>
  <si>
    <r>
      <t>Calls</t>
    </r>
    <r>
      <rPr>
        <sz val="10"/>
        <color theme="1"/>
        <rFont val="Calibri"/>
        <family val="2"/>
        <scheme val="minor"/>
      </rPr>
      <t>forSeptember 22, 2021</t>
    </r>
  </si>
  <si>
    <t>SPY210922C00426000</t>
  </si>
  <si>
    <t>SPY210924C00426000</t>
  </si>
  <si>
    <t>2021-09-21 3:30PM EDT</t>
  </si>
  <si>
    <t>SPY210927C00426000</t>
  </si>
  <si>
    <t>SPY210929C00426000</t>
  </si>
  <si>
    <t>2021-09-20 3:59PM EDT</t>
  </si>
  <si>
    <t>SPY210930C00426000</t>
  </si>
  <si>
    <t>2021-09-21 11:00AM EDT</t>
  </si>
  <si>
    <t>SPY211001C00426000</t>
  </si>
  <si>
    <t>2021-09-21 2:30PM EDT</t>
  </si>
  <si>
    <t>SPY211004C00426000</t>
  </si>
  <si>
    <t>2021-09-21 11:31AM EDT</t>
  </si>
  <si>
    <t>SPY211008C00426000</t>
  </si>
  <si>
    <t>2021-09-20 2:50PM EDT</t>
  </si>
  <si>
    <t>SPY211011C00426000</t>
  </si>
  <si>
    <t>SPY211013C00426000</t>
  </si>
  <si>
    <t>2021-09-21 3:08PM EDT</t>
  </si>
  <si>
    <t>SPY211015C00426000</t>
  </si>
  <si>
    <t>SPY211018C00426000</t>
  </si>
  <si>
    <t>SPY211022C00426000</t>
  </si>
  <si>
    <t>2021-09-21 2:13PM EDT</t>
  </si>
  <si>
    <t>SPY211119C00426000</t>
  </si>
  <si>
    <t>SPY211217C00426000</t>
  </si>
  <si>
    <t>SPY211231C00426000</t>
  </si>
  <si>
    <t>2021-09-21 11:29AM EDT</t>
  </si>
  <si>
    <t>SPY220121C00426000</t>
  </si>
  <si>
    <t>2021-09-21 3:01PM EDT</t>
  </si>
  <si>
    <t>SPY220218C00426000</t>
  </si>
  <si>
    <t>SPY220318C00426000</t>
  </si>
  <si>
    <t>SPY220331C00426000</t>
  </si>
  <si>
    <t>SPY220617C00426000</t>
  </si>
  <si>
    <t>2021-09-20 1:29PM EDT</t>
  </si>
  <si>
    <t>SPY220630C00426000</t>
  </si>
  <si>
    <t>2021-08-17 3:30PM EDT</t>
  </si>
  <si>
    <r>
      <t>Puts</t>
    </r>
    <r>
      <rPr>
        <sz val="10"/>
        <color theme="1"/>
        <rFont val="Calibri"/>
        <family val="2"/>
        <scheme val="minor"/>
      </rPr>
      <t>forSeptember 22, 2021</t>
    </r>
  </si>
  <si>
    <t>SPY210922P00426000</t>
  </si>
  <si>
    <t>SPY210924P00426000</t>
  </si>
  <si>
    <t>SPY210927P00426000</t>
  </si>
  <si>
    <t>SPY210929P00426000</t>
  </si>
  <si>
    <t>SPY210930P00426000</t>
  </si>
  <si>
    <t>SPY211001P00426000</t>
  </si>
  <si>
    <t>SPY211004P00426000</t>
  </si>
  <si>
    <t>SPY211006P00426000</t>
  </si>
  <si>
    <t>2021-09-21 2:40PM EDT</t>
  </si>
  <si>
    <t>SPY211008P00426000</t>
  </si>
  <si>
    <t>2021-09-21 3:20PM EDT</t>
  </si>
  <si>
    <t>SPY211011P00426000</t>
  </si>
  <si>
    <t>SPY211013P00426000</t>
  </si>
  <si>
    <t>SPY211015P00426000</t>
  </si>
  <si>
    <t>SPY211018P00426000</t>
  </si>
  <si>
    <t>2021-09-21 1:41PM EDT</t>
  </si>
  <si>
    <t>SPY211020P00426000</t>
  </si>
  <si>
    <t>SPY211022P00426000</t>
  </si>
  <si>
    <t>SPY211119P00426000</t>
  </si>
  <si>
    <t>SPY211217P00426000</t>
  </si>
  <si>
    <t>2021-09-21 2:00PM EDT</t>
  </si>
  <si>
    <t>SPY211231P00426000</t>
  </si>
  <si>
    <t>SPY220121P00426000</t>
  </si>
  <si>
    <t>2021-09-21 2:18PM EDT</t>
  </si>
  <si>
    <t>SPY220218P00426000</t>
  </si>
  <si>
    <t>2021-09-21 2:53PM EDT</t>
  </si>
  <si>
    <t>SPY220318P00426000</t>
  </si>
  <si>
    <t>2021-09-16 11:45AM EDT</t>
  </si>
  <si>
    <t>SPY220331P00426000</t>
  </si>
  <si>
    <t>2021-09-20 1:03PM EDT</t>
  </si>
  <si>
    <t>SPY220617P00426000</t>
  </si>
  <si>
    <t>SPY220630P00426000</t>
  </si>
  <si>
    <t>2021-08-25 5:29PM EDT</t>
  </si>
  <si>
    <t>SPY220916P00426000</t>
  </si>
  <si>
    <t>2021-09-20 12:07AM EDT</t>
  </si>
  <si>
    <t>Strike:430.00</t>
  </si>
  <si>
    <t>SPY210922C00430000</t>
  </si>
  <si>
    <t>2021-09-21 4:15PM EDT</t>
  </si>
  <si>
    <t>SPY210924C00430000</t>
  </si>
  <si>
    <t>SPY210927C00430000</t>
  </si>
  <si>
    <t>SPY210929C00430000</t>
  </si>
  <si>
    <t>SPY210930C00430000</t>
  </si>
  <si>
    <t>SPY211001C00430000</t>
  </si>
  <si>
    <t>SPY211004C00430000</t>
  </si>
  <si>
    <t>SPY211006C00430000</t>
  </si>
  <si>
    <t>SPY211008C00430000</t>
  </si>
  <si>
    <t>SPY211011C00430000</t>
  </si>
  <si>
    <t>SPY211013C00430000</t>
  </si>
  <si>
    <t>SPY211015C00430000</t>
  </si>
  <si>
    <t>SPY211018C00430000</t>
  </si>
  <si>
    <t>2021-09-21 1:59PM EDT</t>
  </si>
  <si>
    <t>SPY211020C00430000</t>
  </si>
  <si>
    <t>SPY211022C00430000</t>
  </si>
  <si>
    <t>SPY211025C00430000</t>
  </si>
  <si>
    <t>SPY211119C00430000</t>
  </si>
  <si>
    <t>SPY211217C00430000</t>
  </si>
  <si>
    <t>SPY211231C00430000</t>
  </si>
  <si>
    <t>SPY220121C00430000</t>
  </si>
  <si>
    <t>SPY220218C00430000</t>
  </si>
  <si>
    <t>2021-09-21 12:26PM EDT</t>
  </si>
  <si>
    <t>SPY220318C00430000</t>
  </si>
  <si>
    <t>SPY220331C00430000</t>
  </si>
  <si>
    <t>2021-09-21 3:28PM EDT</t>
  </si>
  <si>
    <t>SPY220617C00430000</t>
  </si>
  <si>
    <t>SPY220630C00430000</t>
  </si>
  <si>
    <t>2021-09-21 3:40PM EDT</t>
  </si>
  <si>
    <t>SPY220916C00430000</t>
  </si>
  <si>
    <t>SPY221216C00430000</t>
  </si>
  <si>
    <t>SPY230120C00430000</t>
  </si>
  <si>
    <t>SPY230317C00430000</t>
  </si>
  <si>
    <t>2021-09-20 3:18PM EDT</t>
  </si>
  <si>
    <t>SPY230616C00430000</t>
  </si>
  <si>
    <t>2021-09-21 12:52PM EDT</t>
  </si>
  <si>
    <t>SPY231215C00430000</t>
  </si>
  <si>
    <t>SPY240119C00430000</t>
  </si>
  <si>
    <t>2021-09-21 3:07PM EDT</t>
  </si>
  <si>
    <t>SPY210922P00430000</t>
  </si>
  <si>
    <t>SPY210924P00430000</t>
  </si>
  <si>
    <t>SPY210927P00430000</t>
  </si>
  <si>
    <t>SPY210929P00430000</t>
  </si>
  <si>
    <t>SPY210930P00430000</t>
  </si>
  <si>
    <t>SPY211001P00430000</t>
  </si>
  <si>
    <t>SPY211004P00430000</t>
  </si>
  <si>
    <t>SPY211006P00430000</t>
  </si>
  <si>
    <t>SPY211008P00430000</t>
  </si>
  <si>
    <t>SPY211011P00430000</t>
  </si>
  <si>
    <t>SPY211013P00430000</t>
  </si>
  <si>
    <t>SPY211015P00430000</t>
  </si>
  <si>
    <t>SPY211018P00430000</t>
  </si>
  <si>
    <t>SPY211020P00430000</t>
  </si>
  <si>
    <t>2021-09-21 3:09PM EDT</t>
  </si>
  <si>
    <t>SPY211022P00430000</t>
  </si>
  <si>
    <t>SPY211025P00430000</t>
  </si>
  <si>
    <t>2021-09-21 2:20PM EDT</t>
  </si>
  <si>
    <t>SPY211119P00430000</t>
  </si>
  <si>
    <t>SPY211217P00430000</t>
  </si>
  <si>
    <t>SPY211231P00430000</t>
  </si>
  <si>
    <t>SPY220121P00430000</t>
  </si>
  <si>
    <t>SPY220218P00430000</t>
  </si>
  <si>
    <t>SPY220318P00430000</t>
  </si>
  <si>
    <t>2021-09-21 3:48PM EDT</t>
  </si>
  <si>
    <t>SPY220331P00430000</t>
  </si>
  <si>
    <t>2021-09-21 1:06PM EDT</t>
  </si>
  <si>
    <t>SPY220617P00430000</t>
  </si>
  <si>
    <t>2021-09-21 11:49AM EDT</t>
  </si>
  <si>
    <t>SPY220630P00430000</t>
  </si>
  <si>
    <t>2021-09-21 11:03AM EDT</t>
  </si>
  <si>
    <t>SPY220916P00430000</t>
  </si>
  <si>
    <t>2021-09-21 3:12PM EDT</t>
  </si>
  <si>
    <t>SPY221216P00430000</t>
  </si>
  <si>
    <t>SPY230120P00430000</t>
  </si>
  <si>
    <t>2021-09-21 3:44PM EDT</t>
  </si>
  <si>
    <t>SPY230317P00430000</t>
  </si>
  <si>
    <t>2021-09-15 10:42AM EDT</t>
  </si>
  <si>
    <t>SPY230616P00430000</t>
  </si>
  <si>
    <t>2021-09-20 3:56PM EDT</t>
  </si>
  <si>
    <t>SPY231215P00430000</t>
  </si>
  <si>
    <t>SPY240119P00430000</t>
  </si>
  <si>
    <t>2021-09-21 3:05PM EDT</t>
  </si>
  <si>
    <t>Strike:434.00</t>
  </si>
  <si>
    <t>SPY210922C00434000</t>
  </si>
  <si>
    <t>SPY210924C00434000</t>
  </si>
  <si>
    <t>SPY210927C00434000</t>
  </si>
  <si>
    <t>SPY210929C00434000</t>
  </si>
  <si>
    <t>SPY210930C00434000</t>
  </si>
  <si>
    <t>SPY211001C00434000</t>
  </si>
  <si>
    <t>SPY211004C00434000</t>
  </si>
  <si>
    <t>SPY211006C00434000</t>
  </si>
  <si>
    <t>SPY211008C00434000</t>
  </si>
  <si>
    <t>SPY211011C00434000</t>
  </si>
  <si>
    <t>SPY211013C00434000</t>
  </si>
  <si>
    <t>SPY211015C00434000</t>
  </si>
  <si>
    <t>SPY211018C00434000</t>
  </si>
  <si>
    <t>SPY211020C00434000</t>
  </si>
  <si>
    <t>SPY211022C00434000</t>
  </si>
  <si>
    <t>SPY211119C00434000</t>
  </si>
  <si>
    <t>SPY211217C00434000</t>
  </si>
  <si>
    <t>SPY211231C00434000</t>
  </si>
  <si>
    <t>2021-09-21 1:31PM EDT</t>
  </si>
  <si>
    <t>SPY220121C00434000</t>
  </si>
  <si>
    <t>SPY220218C00434000</t>
  </si>
  <si>
    <t>2021-09-20 3:43PM EDT</t>
  </si>
  <si>
    <t>SPY220318C00434000</t>
  </si>
  <si>
    <t>SPY220331C00434000</t>
  </si>
  <si>
    <t>2021-09-21 11:36AM EDT</t>
  </si>
  <si>
    <t>SPY220617C00434000</t>
  </si>
  <si>
    <t>2021-09-21 2:12PM EDT</t>
  </si>
  <si>
    <t>SPY220630C00434000</t>
  </si>
  <si>
    <t>2021-09-20 1:57PM EDT</t>
  </si>
  <si>
    <t>SPY220916C00434000</t>
  </si>
  <si>
    <t>SPY210922P00434000</t>
  </si>
  <si>
    <t>SPY210924P00434000</t>
  </si>
  <si>
    <t>SPY210927P00434000</t>
  </si>
  <si>
    <t>SPY210929P00434000</t>
  </si>
  <si>
    <t>SPY210930P00434000</t>
  </si>
  <si>
    <t>SPY211001P00434000</t>
  </si>
  <si>
    <t>SPY211004P00434000</t>
  </si>
  <si>
    <t>SPY211006P00434000</t>
  </si>
  <si>
    <t>SPY211008P00434000</t>
  </si>
  <si>
    <t>SPY211011P00434000</t>
  </si>
  <si>
    <t>SPY211013P00434000</t>
  </si>
  <si>
    <t>SPY211015P00434000</t>
  </si>
  <si>
    <t>SPY211018P00434000</t>
  </si>
  <si>
    <t>SPY211020P00434000</t>
  </si>
  <si>
    <t>SPY211022P00434000</t>
  </si>
  <si>
    <t>SPY211119P00434000</t>
  </si>
  <si>
    <t>SPY211217P00434000</t>
  </si>
  <si>
    <t>SPY211231P00434000</t>
  </si>
  <si>
    <t>SPY220121P00434000</t>
  </si>
  <si>
    <t>SPY220218P00434000</t>
  </si>
  <si>
    <t>2021-09-21 12:15PM EDT</t>
  </si>
  <si>
    <t>SPY220318P00434000</t>
  </si>
  <si>
    <t>SPY220331P00434000</t>
  </si>
  <si>
    <t>2021-09-20 10:01AM EDT</t>
  </si>
  <si>
    <t>SPY220617P00434000</t>
  </si>
  <si>
    <t>SPY220630P00434000</t>
  </si>
  <si>
    <t>2021-09-20 1:01PM EDT</t>
  </si>
  <si>
    <t>Strike:438.00</t>
  </si>
  <si>
    <t>SPY210922C00438000</t>
  </si>
  <si>
    <t>SPY210924C00438000</t>
  </si>
  <si>
    <t>SPY210927C00438000</t>
  </si>
  <si>
    <t>SPY210929C00438000</t>
  </si>
  <si>
    <t>SPY210930C00438000</t>
  </si>
  <si>
    <t>SPY211001C00438000</t>
  </si>
  <si>
    <t>SPY211004C00438000</t>
  </si>
  <si>
    <t>SPY211006C00438000</t>
  </si>
  <si>
    <t>SPY211008C00438000</t>
  </si>
  <si>
    <t>SPY211011C00438000</t>
  </si>
  <si>
    <t>SPY211013C00438000</t>
  </si>
  <si>
    <t>SPY211015C00438000</t>
  </si>
  <si>
    <t>SPY211018C00438000</t>
  </si>
  <si>
    <t>SPY211022C00438000</t>
  </si>
  <si>
    <t>SPY211119C00438000</t>
  </si>
  <si>
    <t>SPY211217C00438000</t>
  </si>
  <si>
    <t>SPY211231C00438000</t>
  </si>
  <si>
    <t>SPY220121C00438000</t>
  </si>
  <si>
    <t>SPY220218C00438000</t>
  </si>
  <si>
    <t>SPY220318C00438000</t>
  </si>
  <si>
    <t>SPY220331C00438000</t>
  </si>
  <si>
    <t>2021-09-21 9:58AM EDT</t>
  </si>
  <si>
    <t>SPY220617C00438000</t>
  </si>
  <si>
    <t>2021-09-21 10:18AM EDT</t>
  </si>
  <si>
    <t>SPY220630C00438000</t>
  </si>
  <si>
    <t>2021-09-20 2:09PM EDT</t>
  </si>
  <si>
    <t>SPY220916C00438000</t>
  </si>
  <si>
    <t>2021-09-21 12:59PM EDT</t>
  </si>
  <si>
    <t>SPY210922P00438000</t>
  </si>
  <si>
    <t>SPY210924P00438000</t>
  </si>
  <si>
    <t>SPY210927P00438000</t>
  </si>
  <si>
    <t>SPY210929P00438000</t>
  </si>
  <si>
    <t>SPY210930P00438000</t>
  </si>
  <si>
    <t>SPY211001P00438000</t>
  </si>
  <si>
    <t>SPY211004P00438000</t>
  </si>
  <si>
    <t>2021-09-21 3:13PM EDT</t>
  </si>
  <si>
    <t>SPY211006P00438000</t>
  </si>
  <si>
    <t>SPY211008P00438000</t>
  </si>
  <si>
    <t>SPY211011P00438000</t>
  </si>
  <si>
    <t>SPY211013P00438000</t>
  </si>
  <si>
    <t>2021-09-21 3:25PM EDT</t>
  </si>
  <si>
    <t>SPY211015P00438000</t>
  </si>
  <si>
    <t>SPY211018P00438000</t>
  </si>
  <si>
    <t>2021-09-21 11:13AM EDT</t>
  </si>
  <si>
    <t>SPY211020P00438000</t>
  </si>
  <si>
    <t>2021-09-21 9:41AM EDT</t>
  </si>
  <si>
    <t>SPY211022P00438000</t>
  </si>
  <si>
    <t>2021-09-21 12:58PM EDT</t>
  </si>
  <si>
    <t>SPY211119P00438000</t>
  </si>
  <si>
    <t>SPY211217P00438000</t>
  </si>
  <si>
    <t>SPY211231P00438000</t>
  </si>
  <si>
    <t>2021-09-21 11:35AM EDT</t>
  </si>
  <si>
    <t>SPY220121P00438000</t>
  </si>
  <si>
    <t>2021-09-21 2:44PM EDT</t>
  </si>
  <si>
    <t>SPY220218P00438000</t>
  </si>
  <si>
    <t>2021-09-20 10:55AM EDT</t>
  </si>
  <si>
    <t>SPY220318P00438000</t>
  </si>
  <si>
    <t>2021-09-21 11:56AM EDT</t>
  </si>
  <si>
    <t>SPY220331P00438000</t>
  </si>
  <si>
    <t>2021-09-20 9:34AM EDT</t>
  </si>
  <si>
    <t>SPY220617P00438000</t>
  </si>
  <si>
    <t>2021-09-20 3:14PM EDT</t>
  </si>
  <si>
    <t>SPY220630P00438000</t>
  </si>
  <si>
    <t>SPY220916P00438000</t>
  </si>
  <si>
    <t>2021-09-15 3:10PM EDT</t>
  </si>
  <si>
    <t>Strike:442.00</t>
  </si>
  <si>
    <t>SPY210922C00442000</t>
  </si>
  <si>
    <t>SPY210924C00442000</t>
  </si>
  <si>
    <t>SPY210927C00442000</t>
  </si>
  <si>
    <t>SPY210929C00442000</t>
  </si>
  <si>
    <t>SPY210930C00442000</t>
  </si>
  <si>
    <t>SPY211001C00442000</t>
  </si>
  <si>
    <t>SPY211004C00442000</t>
  </si>
  <si>
    <t>SPY211006C00442000</t>
  </si>
  <si>
    <t>SPY211008C00442000</t>
  </si>
  <si>
    <t>SPY211011C00442000</t>
  </si>
  <si>
    <t>SPY211013C00442000</t>
  </si>
  <si>
    <t>2021-09-21 2:31PM EDT</t>
  </si>
  <si>
    <t>SPY211015C00442000</t>
  </si>
  <si>
    <t>SPY211018C00442000</t>
  </si>
  <si>
    <t>SPY211020C00442000</t>
  </si>
  <si>
    <t>SPY211022C00442000</t>
  </si>
  <si>
    <t>SPY211119C00442000</t>
  </si>
  <si>
    <t>SPY211217C00442000</t>
  </si>
  <si>
    <t>2021-09-21 1:47PM EDT</t>
  </si>
  <si>
    <t>SPY211231C00442000</t>
  </si>
  <si>
    <t>2021-09-21 11:34AM EDT</t>
  </si>
  <si>
    <t>SPY220121C00442000</t>
  </si>
  <si>
    <t>2021-09-21 3:22PM EDT</t>
  </si>
  <si>
    <t>SPY220218C00442000</t>
  </si>
  <si>
    <t>2021-09-20 3:33PM EDT</t>
  </si>
  <si>
    <t>SPY220318C00442000</t>
  </si>
  <si>
    <t>2021-09-21 10:13AM EDT</t>
  </si>
  <si>
    <t>SPY220331C00442000</t>
  </si>
  <si>
    <t>2021-09-21 1:09PM EDT</t>
  </si>
  <si>
    <t>SPY220617C00442000</t>
  </si>
  <si>
    <t>SPY220630C00442000</t>
  </si>
  <si>
    <t>2021-09-20 9:36AM EDT</t>
  </si>
  <si>
    <t>SPY220916C00442000</t>
  </si>
  <si>
    <t>2021-09-21 11:14AM EDT</t>
  </si>
  <si>
    <t>SPY210922P00442000</t>
  </si>
  <si>
    <t>SPY210924P00442000</t>
  </si>
  <si>
    <t>SPY210927P00442000</t>
  </si>
  <si>
    <t>SPY210929P00442000</t>
  </si>
  <si>
    <t>2021-09-21 1:04PM EDT</t>
  </si>
  <si>
    <t>SPY210930P00442000</t>
  </si>
  <si>
    <t>2021-09-21 3:52PM EDT</t>
  </si>
  <si>
    <t>SPY211001P00442000</t>
  </si>
  <si>
    <t>SPY211004P00442000</t>
  </si>
  <si>
    <t>SPY211006P00442000</t>
  </si>
  <si>
    <t>2021-09-21 12:11PM EDT</t>
  </si>
  <si>
    <t>SPY211008P00442000</t>
  </si>
  <si>
    <t>SPY211011P00442000</t>
  </si>
  <si>
    <t>SPY211013P00442000</t>
  </si>
  <si>
    <t>SPY211015P00442000</t>
  </si>
  <si>
    <t>SPY211018P00442000</t>
  </si>
  <si>
    <t>2021-09-21 3:32PM EDT</t>
  </si>
  <si>
    <t>SPY211020P00442000</t>
  </si>
  <si>
    <t>2021-09-21 11:52AM EDT</t>
  </si>
  <si>
    <t>SPY211022P00442000</t>
  </si>
  <si>
    <t>SPY211119P00442000</t>
  </si>
  <si>
    <t>SPY211217P00442000</t>
  </si>
  <si>
    <t>2021-09-21 10:24AM EDT</t>
  </si>
  <si>
    <t>SPY211231P00442000</t>
  </si>
  <si>
    <t>2021-09-20 3:41PM EDT</t>
  </si>
  <si>
    <t>SPY220121P00442000</t>
  </si>
  <si>
    <t>2021-09-21 12:30PM EDT</t>
  </si>
  <si>
    <t>SPY220218P00442000</t>
  </si>
  <si>
    <t>SPY220318P00442000</t>
  </si>
  <si>
    <t>SPY220331P00442000</t>
  </si>
  <si>
    <t>SPY220617P00442000</t>
  </si>
  <si>
    <t>2021-09-20 2:44PM EDT</t>
  </si>
  <si>
    <t>SPY220630P00442000</t>
  </si>
  <si>
    <t>2021-09-03 3:53PM EDT</t>
  </si>
  <si>
    <t>SPY220916P00442000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</si>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</sst>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"/>
    <numFmt numFmtId="165" formatCode="0.000"/>
    <numFmt numFmtId="166" formatCode="0.0000000"/>
    <numFmt numFmtId="167" formatCode="&quot;$&quot;#,##0.00"/>
    <numFmt numFmtId="168" formatCode="\+#,##0.00;\-#,##0.00;0.00"/>
    <numFmt numFmtId="169" formatCode="0.00%;\-0.00%;\-"/>
    <numFmt numFmtId="170" formatCode="mmm\ dd\,\ yyyy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EB0F29"/>
      <name val="Calibri"/>
      <family val="2"/>
      <scheme val="minor"/>
    </font>
    <font>
      <sz val="10"/>
      <color rgb="FF00873C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5B636A"/>
      <name val="Calibri"/>
      <family val="2"/>
      <scheme val="minor"/>
    </font>
    <font>
      <sz val="8"/>
      <color rgb="FF5B636A"/>
      <name val="Calibri"/>
      <family val="2"/>
      <scheme val="minor"/>
    </font>
    <font>
      <sz val="11"/>
      <color rgb="FF00873C"/>
      <name val="Calibri"/>
      <family val="2"/>
      <scheme val="minor"/>
    </font>
    <font>
      <sz val="11"/>
      <color rgb="FFEB0F29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0F0FF"/>
        <bgColor indexed="64"/>
      </patternFill>
    </fill>
    <fill>
      <patternFill patternType="solid">
        <fgColor rgb="FFF5F8FA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rgb="FFE0E4E9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 style="medium">
        <color rgb="FFA6A6A6"/>
      </bottom>
      <diagonal/>
    </border>
    <border>
      <left/>
      <right/>
      <top style="medium">
        <color rgb="FFE0E4E9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rgb="FFA6A6A6"/>
      </bottom>
      <diagonal/>
    </border>
    <border>
      <left style="medium">
        <color auto="1"/>
      </left>
      <right/>
      <top style="medium">
        <color rgb="FFE0E4E9"/>
      </top>
      <bottom/>
      <diagonal/>
    </border>
    <border>
      <left style="medium">
        <color auto="1"/>
      </left>
      <right/>
      <top style="medium">
        <color rgb="FFE0E4E9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rgb="FFA6A6A6"/>
      </bottom>
      <diagonal/>
    </border>
    <border>
      <left/>
      <right style="medium">
        <color auto="1"/>
      </right>
      <top style="medium">
        <color rgb="FFE0E4E9"/>
      </top>
      <bottom/>
      <diagonal/>
    </border>
    <border>
      <left/>
      <right style="medium">
        <color auto="1"/>
      </right>
      <top style="medium">
        <color rgb="FFE0E4E9"/>
      </top>
      <bottom style="medium">
        <color auto="1"/>
      </bottom>
      <diagonal/>
    </border>
    <border>
      <left/>
      <right/>
      <top style="medium">
        <color rgb="FFE0E4E9"/>
      </top>
      <bottom style="medium">
        <color rgb="FFE0E4E9"/>
      </bottom>
      <diagonal/>
    </border>
    <border>
      <left/>
      <right/>
      <top style="medium">
        <color auto="1"/>
      </top>
      <bottom style="medium">
        <color rgb="FFE0E4E9"/>
      </bottom>
      <diagonal/>
    </border>
    <border>
      <left style="medium">
        <color auto="1"/>
      </left>
      <right/>
      <top style="medium">
        <color auto="1"/>
      </top>
      <bottom style="medium">
        <color rgb="FFE0E4E9"/>
      </bottom>
      <diagonal/>
    </border>
    <border>
      <left style="medium">
        <color auto="1"/>
      </left>
      <right/>
      <top style="medium">
        <color rgb="FFE0E4E9"/>
      </top>
      <bottom style="medium">
        <color rgb="FFE0E4E9"/>
      </bottom>
      <diagonal/>
    </border>
    <border>
      <left/>
      <right style="medium">
        <color auto="1"/>
      </right>
      <top style="medium">
        <color rgb="FFE0E4E9"/>
      </top>
      <bottom style="medium">
        <color rgb="FFE0E4E9"/>
      </bottom>
      <diagonal/>
    </border>
    <border>
      <left/>
      <right style="medium">
        <color auto="1"/>
      </right>
      <top style="medium">
        <color auto="1"/>
      </top>
      <bottom style="medium">
        <color rgb="FFE0E4E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5">
    <xf numFmtId="0" fontId="0" fillId="0" borderId="0" xfId="0"/>
    <xf numFmtId="0" fontId="1" fillId="0" borderId="0" xfId="0" applyFont="1"/>
    <xf numFmtId="2" fontId="4" fillId="0" borderId="0" xfId="0" applyNumberFormat="1" applyFont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4" fillId="0" borderId="0" xfId="0" applyFont="1"/>
    <xf numFmtId="164" fontId="4" fillId="0" borderId="0" xfId="0" applyNumberFormat="1" applyFont="1"/>
    <xf numFmtId="165" fontId="5" fillId="0" borderId="1" xfId="1" applyNumberFormat="1" applyFont="1" applyBorder="1" applyAlignment="1">
      <alignment horizontal="right" vertical="center" wrapText="1" indent="1"/>
    </xf>
    <xf numFmtId="0" fontId="1" fillId="0" borderId="5" xfId="0" applyFont="1" applyBorder="1"/>
    <xf numFmtId="10" fontId="1" fillId="0" borderId="0" xfId="0" applyNumberFormat="1" applyFont="1"/>
    <xf numFmtId="10" fontId="1" fillId="0" borderId="6" xfId="0" applyNumberFormat="1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/>
    <xf numFmtId="0" fontId="5" fillId="2" borderId="1" xfId="1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right" vertical="center" wrapText="1"/>
    </xf>
    <xf numFmtId="0" fontId="5" fillId="2" borderId="1" xfId="1" applyFont="1" applyFill="1" applyBorder="1" applyAlignment="1">
      <alignment horizontal="right" vertical="center" wrapText="1" indent="1"/>
    </xf>
    <xf numFmtId="10" fontId="1" fillId="2" borderId="1" xfId="0" applyNumberFormat="1" applyFont="1" applyFill="1" applyBorder="1" applyAlignment="1">
      <alignment horizontal="right" vertical="center" wrapText="1"/>
    </xf>
    <xf numFmtId="0" fontId="5" fillId="0" borderId="1" xfId="1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right" vertical="center" wrapText="1"/>
    </xf>
    <xf numFmtId="0" fontId="5" fillId="0" borderId="1" xfId="1" applyFont="1" applyBorder="1" applyAlignment="1">
      <alignment horizontal="right" vertical="center" wrapText="1" indent="1"/>
    </xf>
    <xf numFmtId="10" fontId="1" fillId="0" borderId="1" xfId="0" applyNumberFormat="1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10" fontId="6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10" fontId="6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10" fontId="7" fillId="0" borderId="1" xfId="0" applyNumberFormat="1" applyFont="1" applyBorder="1" applyAlignment="1">
      <alignment horizontal="right" vertical="center" wrapText="1"/>
    </xf>
    <xf numFmtId="0" fontId="7" fillId="2" borderId="1" xfId="0" applyFont="1" applyFill="1" applyBorder="1" applyAlignment="1">
      <alignment horizontal="right" vertical="center" wrapText="1"/>
    </xf>
    <xf numFmtId="10" fontId="7" fillId="2" borderId="1" xfId="0" applyNumberFormat="1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14" fontId="5" fillId="2" borderId="1" xfId="1" applyNumberFormat="1" applyFont="1" applyFill="1" applyBorder="1" applyAlignment="1">
      <alignment horizontal="right" vertical="center" wrapText="1" indent="1"/>
    </xf>
    <xf numFmtId="0" fontId="8" fillId="0" borderId="0" xfId="0" applyFont="1"/>
    <xf numFmtId="0" fontId="9" fillId="0" borderId="0" xfId="0" applyFont="1" applyAlignment="1">
      <alignment horizontal="left" wrapText="1" indent="1"/>
    </xf>
    <xf numFmtId="0" fontId="9" fillId="0" borderId="0" xfId="0" applyFont="1" applyAlignment="1">
      <alignment horizontal="right" wrapText="1"/>
    </xf>
    <xf numFmtId="0" fontId="10" fillId="0" borderId="0" xfId="0" applyFont="1" applyAlignment="1">
      <alignment horizontal="center" wrapText="1"/>
    </xf>
    <xf numFmtId="0" fontId="2" fillId="2" borderId="1" xfId="1" applyFill="1" applyBorder="1" applyAlignment="1">
      <alignment horizontal="left" vertical="center" wrapText="1" indent="1"/>
    </xf>
    <xf numFmtId="0" fontId="0" fillId="2" borderId="1" xfId="0" applyFill="1" applyBorder="1" applyAlignment="1">
      <alignment horizontal="right" vertical="center" wrapText="1"/>
    </xf>
    <xf numFmtId="10" fontId="0" fillId="2" borderId="1" xfId="0" applyNumberForma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horizontal="right" vertical="center" wrapText="1"/>
    </xf>
    <xf numFmtId="10" fontId="11" fillId="2" borderId="1" xfId="0" applyNumberFormat="1" applyFont="1" applyFill="1" applyBorder="1" applyAlignment="1">
      <alignment horizontal="right" vertical="center" wrapText="1"/>
    </xf>
    <xf numFmtId="0" fontId="12" fillId="2" borderId="1" xfId="0" applyFont="1" applyFill="1" applyBorder="1" applyAlignment="1">
      <alignment horizontal="right" vertical="center" wrapText="1"/>
    </xf>
    <xf numFmtId="10" fontId="12" fillId="2" borderId="1" xfId="0" applyNumberFormat="1" applyFont="1" applyFill="1" applyBorder="1" applyAlignment="1">
      <alignment horizontal="right" vertical="center" wrapText="1"/>
    </xf>
    <xf numFmtId="0" fontId="2" fillId="0" borderId="1" xfId="1" applyBorder="1" applyAlignment="1">
      <alignment horizontal="left" vertical="center" wrapText="1" indent="1"/>
    </xf>
    <xf numFmtId="0" fontId="0" fillId="0" borderId="1" xfId="0" applyBorder="1" applyAlignment="1">
      <alignment horizontal="right" vertical="center" wrapText="1"/>
    </xf>
    <xf numFmtId="0" fontId="12" fillId="0" borderId="1" xfId="0" applyFont="1" applyBorder="1" applyAlignment="1">
      <alignment horizontal="right" vertical="center" wrapText="1"/>
    </xf>
    <xf numFmtId="10" fontId="0" fillId="0" borderId="1" xfId="0" applyNumberFormat="1" applyBorder="1" applyAlignment="1">
      <alignment horizontal="right" vertical="center" wrapText="1"/>
    </xf>
    <xf numFmtId="10" fontId="12" fillId="0" borderId="1" xfId="0" applyNumberFormat="1" applyFont="1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 wrapText="1"/>
    </xf>
    <xf numFmtId="10" fontId="11" fillId="0" borderId="1" xfId="0" applyNumberFormat="1" applyFont="1" applyBorder="1" applyAlignment="1">
      <alignment horizontal="right" vertical="center" wrapText="1"/>
    </xf>
    <xf numFmtId="3" fontId="0" fillId="2" borderId="1" xfId="0" applyNumberFormat="1" applyFill="1" applyBorder="1" applyAlignment="1">
      <alignment horizontal="right" vertical="center" wrapText="1"/>
    </xf>
    <xf numFmtId="14" fontId="2" fillId="2" borderId="1" xfId="1" applyNumberFormat="1" applyFill="1" applyBorder="1" applyAlignment="1">
      <alignment horizontal="right" vertical="center" wrapText="1" indent="1"/>
    </xf>
    <xf numFmtId="14" fontId="2" fillId="0" borderId="1" xfId="1" applyNumberFormat="1" applyBorder="1" applyAlignment="1">
      <alignment horizontal="right" vertical="center" wrapText="1" indent="1"/>
    </xf>
    <xf numFmtId="0" fontId="2" fillId="3" borderId="1" xfId="1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right" vertical="center" wrapText="1"/>
    </xf>
    <xf numFmtId="14" fontId="2" fillId="3" borderId="1" xfId="1" applyNumberFormat="1" applyFill="1" applyBorder="1" applyAlignment="1">
      <alignment horizontal="right" vertical="center" wrapText="1" indent="1"/>
    </xf>
    <xf numFmtId="10" fontId="0" fillId="3" borderId="1" xfId="0" applyNumberFormat="1" applyFill="1" applyBorder="1" applyAlignment="1">
      <alignment horizontal="right" vertical="center" wrapText="1"/>
    </xf>
    <xf numFmtId="166" fontId="4" fillId="0" borderId="0" xfId="0" applyNumberFormat="1" applyFont="1"/>
    <xf numFmtId="0" fontId="13" fillId="4" borderId="0" xfId="1" applyFont="1" applyFill="1" applyAlignment="1">
      <alignment vertical="center" wrapText="1"/>
    </xf>
    <xf numFmtId="0" fontId="14" fillId="5" borderId="0" xfId="0" applyFont="1" applyFill="1"/>
    <xf numFmtId="0" fontId="2" fillId="0" borderId="0" xfId="1" applyBorder="1" applyAlignment="1">
      <alignment horizontal="left" vertical="center" wrapText="1" indent="1"/>
    </xf>
    <xf numFmtId="0" fontId="0" fillId="0" borderId="0" xfId="0" applyBorder="1" applyAlignment="1">
      <alignment horizontal="right" vertical="center" wrapText="1"/>
    </xf>
    <xf numFmtId="14" fontId="2" fillId="0" borderId="0" xfId="1" applyNumberFormat="1" applyBorder="1" applyAlignment="1">
      <alignment horizontal="right" vertical="center" wrapText="1" indent="1"/>
    </xf>
    <xf numFmtId="0" fontId="12" fillId="0" borderId="0" xfId="0" applyFont="1" applyBorder="1" applyAlignment="1">
      <alignment horizontal="right" vertical="center" wrapText="1"/>
    </xf>
    <xf numFmtId="10" fontId="12" fillId="0" borderId="0" xfId="0" applyNumberFormat="1" applyFont="1" applyBorder="1" applyAlignment="1">
      <alignment horizontal="right" vertical="center" wrapText="1"/>
    </xf>
    <xf numFmtId="3" fontId="0" fillId="0" borderId="0" xfId="0" applyNumberFormat="1" applyBorder="1" applyAlignment="1">
      <alignment horizontal="right" vertical="center" wrapText="1"/>
    </xf>
    <xf numFmtId="10" fontId="0" fillId="0" borderId="0" xfId="0" applyNumberFormat="1" applyBorder="1" applyAlignment="1">
      <alignment horizontal="right" vertical="center" wrapText="1"/>
    </xf>
    <xf numFmtId="0" fontId="2" fillId="2" borderId="0" xfId="1" applyFill="1" applyBorder="1" applyAlignment="1">
      <alignment horizontal="left" vertical="center" wrapText="1" indent="1"/>
    </xf>
    <xf numFmtId="0" fontId="0" fillId="2" borderId="0" xfId="0" applyFill="1" applyBorder="1" applyAlignment="1">
      <alignment horizontal="right" vertical="center" wrapText="1"/>
    </xf>
    <xf numFmtId="14" fontId="2" fillId="2" borderId="0" xfId="1" applyNumberFormat="1" applyFill="1" applyBorder="1" applyAlignment="1">
      <alignment horizontal="right" vertical="center" wrapText="1" indent="1"/>
    </xf>
    <xf numFmtId="0" fontId="12" fillId="2" borderId="0" xfId="0" applyFont="1" applyFill="1" applyBorder="1" applyAlignment="1">
      <alignment horizontal="right" vertical="center" wrapText="1"/>
    </xf>
    <xf numFmtId="10" fontId="12" fillId="2" borderId="0" xfId="0" applyNumberFormat="1" applyFont="1" applyFill="1" applyBorder="1" applyAlignment="1">
      <alignment horizontal="right" vertical="center" wrapText="1"/>
    </xf>
    <xf numFmtId="3" fontId="0" fillId="2" borderId="0" xfId="0" applyNumberFormat="1" applyFill="1" applyBorder="1" applyAlignment="1">
      <alignment horizontal="right" vertical="center" wrapText="1"/>
    </xf>
    <xf numFmtId="10" fontId="0" fillId="2" borderId="0" xfId="0" applyNumberFormat="1" applyFill="1" applyBorder="1" applyAlignment="1">
      <alignment horizontal="right" vertical="center" wrapText="1"/>
    </xf>
    <xf numFmtId="0" fontId="1" fillId="7" borderId="0" xfId="0" applyFont="1" applyFill="1" applyBorder="1" applyAlignment="1">
      <alignment horizontal="right" vertical="center" wrapText="1"/>
    </xf>
    <xf numFmtId="3" fontId="1" fillId="7" borderId="0" xfId="0" applyNumberFormat="1" applyFont="1" applyFill="1" applyBorder="1" applyAlignment="1">
      <alignment horizontal="right" vertical="center" wrapText="1"/>
    </xf>
    <xf numFmtId="0" fontId="1" fillId="8" borderId="1" xfId="0" applyFont="1" applyFill="1" applyBorder="1" applyAlignment="1">
      <alignment horizontal="right" vertical="center" wrapText="1"/>
    </xf>
    <xf numFmtId="3" fontId="1" fillId="8" borderId="1" xfId="0" applyNumberFormat="1" applyFont="1" applyFill="1" applyBorder="1" applyAlignment="1">
      <alignment horizontal="right" vertical="center" wrapText="1"/>
    </xf>
    <xf numFmtId="0" fontId="1" fillId="7" borderId="1" xfId="0" applyFont="1" applyFill="1" applyBorder="1" applyAlignment="1">
      <alignment horizontal="right" vertical="center" wrapText="1"/>
    </xf>
    <xf numFmtId="3" fontId="1" fillId="7" borderId="1" xfId="0" applyNumberFormat="1" applyFont="1" applyFill="1" applyBorder="1" applyAlignment="1">
      <alignment horizontal="right" vertical="center" wrapText="1"/>
    </xf>
    <xf numFmtId="167" fontId="1" fillId="7" borderId="0" xfId="0" applyNumberFormat="1" applyFont="1" applyFill="1" applyBorder="1" applyAlignment="1">
      <alignment horizontal="right" vertical="center" wrapText="1"/>
    </xf>
    <xf numFmtId="167" fontId="1" fillId="8" borderId="1" xfId="0" applyNumberFormat="1" applyFont="1" applyFill="1" applyBorder="1" applyAlignment="1">
      <alignment horizontal="right" vertical="center" wrapText="1"/>
    </xf>
    <xf numFmtId="167" fontId="1" fillId="7" borderId="1" xfId="0" applyNumberFormat="1" applyFont="1" applyFill="1" applyBorder="1" applyAlignment="1">
      <alignment horizontal="right" vertical="center" wrapText="1"/>
    </xf>
    <xf numFmtId="168" fontId="6" fillId="7" borderId="0" xfId="0" applyNumberFormat="1" applyFont="1" applyFill="1" applyBorder="1" applyAlignment="1">
      <alignment horizontal="right" vertical="center" wrapText="1"/>
    </xf>
    <xf numFmtId="168" fontId="6" fillId="8" borderId="1" xfId="0" applyNumberFormat="1" applyFont="1" applyFill="1" applyBorder="1" applyAlignment="1">
      <alignment horizontal="right" vertical="center" wrapText="1"/>
    </xf>
    <xf numFmtId="168" fontId="6" fillId="7" borderId="1" xfId="0" applyNumberFormat="1" applyFont="1" applyFill="1" applyBorder="1" applyAlignment="1">
      <alignment horizontal="right" vertical="center" wrapText="1"/>
    </xf>
    <xf numFmtId="168" fontId="7" fillId="7" borderId="1" xfId="0" applyNumberFormat="1" applyFont="1" applyFill="1" applyBorder="1" applyAlignment="1">
      <alignment horizontal="right" vertical="center" wrapText="1"/>
    </xf>
    <xf numFmtId="168" fontId="7" fillId="8" borderId="1" xfId="0" applyNumberFormat="1" applyFont="1" applyFill="1" applyBorder="1" applyAlignment="1">
      <alignment horizontal="right" vertical="center" wrapText="1"/>
    </xf>
    <xf numFmtId="168" fontId="1" fillId="7" borderId="1" xfId="0" applyNumberFormat="1" applyFont="1" applyFill="1" applyBorder="1" applyAlignment="1">
      <alignment horizontal="right" vertical="center" wrapText="1"/>
    </xf>
    <xf numFmtId="169" fontId="6" fillId="7" borderId="0" xfId="0" applyNumberFormat="1" applyFont="1" applyFill="1" applyBorder="1" applyAlignment="1">
      <alignment horizontal="right" vertical="center" wrapText="1"/>
    </xf>
    <xf numFmtId="169" fontId="6" fillId="8" borderId="1" xfId="0" applyNumberFormat="1" applyFont="1" applyFill="1" applyBorder="1" applyAlignment="1">
      <alignment horizontal="right" vertical="center" wrapText="1"/>
    </xf>
    <xf numFmtId="169" fontId="6" fillId="7" borderId="1" xfId="0" applyNumberFormat="1" applyFont="1" applyFill="1" applyBorder="1" applyAlignment="1">
      <alignment horizontal="right" vertical="center" wrapText="1"/>
    </xf>
    <xf numFmtId="169" fontId="7" fillId="7" borderId="1" xfId="0" applyNumberFormat="1" applyFont="1" applyFill="1" applyBorder="1" applyAlignment="1">
      <alignment horizontal="right" vertical="center" wrapText="1"/>
    </xf>
    <xf numFmtId="169" fontId="7" fillId="8" borderId="1" xfId="0" applyNumberFormat="1" applyFont="1" applyFill="1" applyBorder="1" applyAlignment="1">
      <alignment horizontal="right" vertical="center" wrapText="1"/>
    </xf>
    <xf numFmtId="169" fontId="1" fillId="7" borderId="1" xfId="0" applyNumberFormat="1" applyFont="1" applyFill="1" applyBorder="1" applyAlignment="1">
      <alignment horizontal="right" vertical="center" wrapText="1"/>
    </xf>
    <xf numFmtId="170" fontId="16" fillId="7" borderId="0" xfId="1" applyNumberFormat="1" applyFont="1" applyFill="1" applyBorder="1" applyAlignment="1">
      <alignment horizontal="right" vertical="center" wrapText="1" indent="1"/>
    </xf>
    <xf numFmtId="170" fontId="16" fillId="8" borderId="1" xfId="1" applyNumberFormat="1" applyFont="1" applyFill="1" applyBorder="1" applyAlignment="1">
      <alignment horizontal="right" vertical="center" wrapText="1" indent="1"/>
    </xf>
    <xf numFmtId="170" fontId="16" fillId="7" borderId="1" xfId="1" applyNumberFormat="1" applyFont="1" applyFill="1" applyBorder="1" applyAlignment="1">
      <alignment horizontal="right" vertical="center" wrapText="1" indent="1"/>
    </xf>
    <xf numFmtId="0" fontId="15" fillId="6" borderId="10" xfId="0" applyFont="1" applyFill="1" applyBorder="1" applyAlignment="1">
      <alignment horizontal="center" wrapText="1"/>
    </xf>
    <xf numFmtId="0" fontId="1" fillId="8" borderId="11" xfId="0" applyFont="1" applyFill="1" applyBorder="1" applyAlignment="1">
      <alignment horizontal="right" vertical="center" wrapText="1"/>
    </xf>
    <xf numFmtId="170" fontId="16" fillId="8" borderId="11" xfId="1" applyNumberFormat="1" applyFont="1" applyFill="1" applyBorder="1" applyAlignment="1">
      <alignment horizontal="right" vertical="center" wrapText="1" indent="1"/>
    </xf>
    <xf numFmtId="167" fontId="1" fillId="8" borderId="11" xfId="0" applyNumberFormat="1" applyFont="1" applyFill="1" applyBorder="1" applyAlignment="1">
      <alignment horizontal="right" vertical="center" wrapText="1"/>
    </xf>
    <xf numFmtId="168" fontId="7" fillId="8" borderId="11" xfId="0" applyNumberFormat="1" applyFont="1" applyFill="1" applyBorder="1" applyAlignment="1">
      <alignment horizontal="right" vertical="center" wrapText="1"/>
    </xf>
    <xf numFmtId="169" fontId="7" fillId="8" borderId="11" xfId="0" applyNumberFormat="1" applyFont="1" applyFill="1" applyBorder="1" applyAlignment="1">
      <alignment horizontal="right" vertical="center" wrapText="1"/>
    </xf>
    <xf numFmtId="3" fontId="1" fillId="8" borderId="11" xfId="0" applyNumberFormat="1" applyFont="1" applyFill="1" applyBorder="1" applyAlignment="1">
      <alignment horizontal="right" vertical="center" wrapText="1"/>
    </xf>
    <xf numFmtId="0" fontId="15" fillId="6" borderId="12" xfId="0" applyFont="1" applyFill="1" applyBorder="1" applyAlignment="1">
      <alignment horizontal="center" wrapText="1" indent="1"/>
    </xf>
    <xf numFmtId="0" fontId="16" fillId="7" borderId="5" xfId="1" applyFont="1" applyFill="1" applyBorder="1" applyAlignment="1">
      <alignment horizontal="left" vertical="center" wrapText="1" indent="1"/>
    </xf>
    <xf numFmtId="0" fontId="16" fillId="8" borderId="13" xfId="1" applyFont="1" applyFill="1" applyBorder="1" applyAlignment="1">
      <alignment horizontal="left" vertical="center" wrapText="1" indent="1"/>
    </xf>
    <xf numFmtId="0" fontId="16" fillId="7" borderId="13" xfId="1" applyFont="1" applyFill="1" applyBorder="1" applyAlignment="1">
      <alignment horizontal="left" vertical="center" wrapText="1" indent="1"/>
    </xf>
    <xf numFmtId="0" fontId="16" fillId="8" borderId="14" xfId="1" applyFont="1" applyFill="1" applyBorder="1" applyAlignment="1">
      <alignment horizontal="left" vertical="center" wrapText="1" indent="1"/>
    </xf>
    <xf numFmtId="0" fontId="15" fillId="6" borderId="15" xfId="0" applyFont="1" applyFill="1" applyBorder="1" applyAlignment="1">
      <alignment horizontal="center" wrapText="1"/>
    </xf>
    <xf numFmtId="10" fontId="1" fillId="7" borderId="6" xfId="0" applyNumberFormat="1" applyFont="1" applyFill="1" applyBorder="1" applyAlignment="1">
      <alignment horizontal="right" vertical="center" wrapText="1"/>
    </xf>
    <xf numFmtId="10" fontId="1" fillId="8" borderId="16" xfId="0" applyNumberFormat="1" applyFont="1" applyFill="1" applyBorder="1" applyAlignment="1">
      <alignment horizontal="right" vertical="center" wrapText="1"/>
    </xf>
    <xf numFmtId="10" fontId="1" fillId="7" borderId="16" xfId="0" applyNumberFormat="1" applyFont="1" applyFill="1" applyBorder="1" applyAlignment="1">
      <alignment horizontal="right" vertical="center" wrapText="1"/>
    </xf>
    <xf numFmtId="10" fontId="1" fillId="8" borderId="17" xfId="0" applyNumberFormat="1" applyFont="1" applyFill="1" applyBorder="1" applyAlignment="1">
      <alignment horizontal="right" vertical="center" wrapText="1"/>
    </xf>
    <xf numFmtId="0" fontId="5" fillId="2" borderId="0" xfId="1" applyFont="1" applyFill="1" applyBorder="1" applyAlignment="1">
      <alignment horizontal="left" vertical="center" wrapText="1" indent="1"/>
    </xf>
    <xf numFmtId="0" fontId="1" fillId="2" borderId="0" xfId="0" applyFont="1" applyFill="1" applyBorder="1" applyAlignment="1">
      <alignment horizontal="right" vertical="center" wrapText="1"/>
    </xf>
    <xf numFmtId="14" fontId="5" fillId="2" borderId="0" xfId="1" applyNumberFormat="1" applyFont="1" applyFill="1" applyBorder="1" applyAlignment="1">
      <alignment horizontal="right" vertical="center" wrapText="1" indent="1"/>
    </xf>
    <xf numFmtId="0" fontId="7" fillId="2" borderId="0" xfId="0" applyFont="1" applyFill="1" applyBorder="1" applyAlignment="1">
      <alignment horizontal="right" vertical="center" wrapText="1"/>
    </xf>
    <xf numFmtId="10" fontId="7" fillId="2" borderId="0" xfId="0" applyNumberFormat="1" applyFont="1" applyFill="1" applyBorder="1" applyAlignment="1">
      <alignment horizontal="right" vertical="center" wrapText="1"/>
    </xf>
    <xf numFmtId="3" fontId="1" fillId="2" borderId="0" xfId="0" applyNumberFormat="1" applyFont="1" applyFill="1" applyBorder="1" applyAlignment="1">
      <alignment horizontal="right" vertical="center" wrapText="1"/>
    </xf>
    <xf numFmtId="10" fontId="1" fillId="2" borderId="0" xfId="0" applyNumberFormat="1" applyFont="1" applyFill="1" applyBorder="1" applyAlignment="1">
      <alignment horizontal="right" vertical="center" wrapText="1"/>
    </xf>
    <xf numFmtId="0" fontId="1" fillId="7" borderId="18" xfId="0" applyFont="1" applyFill="1" applyBorder="1" applyAlignment="1">
      <alignment horizontal="right" vertical="center" wrapText="1"/>
    </xf>
    <xf numFmtId="170" fontId="16" fillId="7" borderId="18" xfId="1" applyNumberFormat="1" applyFont="1" applyFill="1" applyBorder="1" applyAlignment="1">
      <alignment horizontal="right" vertical="center" wrapText="1" indent="1"/>
    </xf>
    <xf numFmtId="167" fontId="1" fillId="7" borderId="18" xfId="0" applyNumberFormat="1" applyFont="1" applyFill="1" applyBorder="1" applyAlignment="1">
      <alignment horizontal="right" vertical="center" wrapText="1"/>
    </xf>
    <xf numFmtId="168" fontId="1" fillId="7" borderId="18" xfId="0" applyNumberFormat="1" applyFont="1" applyFill="1" applyBorder="1" applyAlignment="1">
      <alignment horizontal="right" vertical="center" wrapText="1"/>
    </xf>
    <xf numFmtId="169" fontId="1" fillId="7" borderId="18" xfId="0" applyNumberFormat="1" applyFont="1" applyFill="1" applyBorder="1" applyAlignment="1">
      <alignment horizontal="right" vertical="center" wrapText="1"/>
    </xf>
    <xf numFmtId="3" fontId="1" fillId="7" borderId="18" xfId="0" applyNumberFormat="1" applyFont="1" applyFill="1" applyBorder="1" applyAlignment="1">
      <alignment horizontal="right" vertical="center" wrapText="1"/>
    </xf>
    <xf numFmtId="0" fontId="16" fillId="7" borderId="21" xfId="1" applyFont="1" applyFill="1" applyBorder="1" applyAlignment="1">
      <alignment horizontal="left" vertical="center" wrapText="1" indent="1"/>
    </xf>
    <xf numFmtId="10" fontId="1" fillId="7" borderId="22" xfId="0" applyNumberFormat="1" applyFont="1" applyFill="1" applyBorder="1" applyAlignment="1">
      <alignment horizontal="right" vertical="center" wrapText="1"/>
    </xf>
    <xf numFmtId="168" fontId="1" fillId="8" borderId="1" xfId="0" applyNumberFormat="1" applyFont="1" applyFill="1" applyBorder="1" applyAlignment="1">
      <alignment horizontal="right" vertical="center" wrapText="1"/>
    </xf>
    <xf numFmtId="169" fontId="1" fillId="8" borderId="1" xfId="0" applyNumberFormat="1" applyFont="1" applyFill="1" applyBorder="1" applyAlignment="1">
      <alignment horizontal="right" vertical="center" wrapText="1"/>
    </xf>
    <xf numFmtId="0" fontId="15" fillId="6" borderId="19" xfId="0" applyFont="1" applyFill="1" applyBorder="1" applyAlignment="1">
      <alignment horizontal="center" wrapText="1"/>
    </xf>
    <xf numFmtId="0" fontId="1" fillId="7" borderId="11" xfId="0" applyFont="1" applyFill="1" applyBorder="1" applyAlignment="1">
      <alignment horizontal="right" vertical="center" wrapText="1"/>
    </xf>
    <xf numFmtId="170" fontId="16" fillId="7" borderId="11" xfId="1" applyNumberFormat="1" applyFont="1" applyFill="1" applyBorder="1" applyAlignment="1">
      <alignment horizontal="right" vertical="center" wrapText="1" indent="1"/>
    </xf>
    <xf numFmtId="167" fontId="1" fillId="7" borderId="11" xfId="0" applyNumberFormat="1" applyFont="1" applyFill="1" applyBorder="1" applyAlignment="1">
      <alignment horizontal="right" vertical="center" wrapText="1"/>
    </xf>
    <xf numFmtId="168" fontId="1" fillId="7" borderId="11" xfId="0" applyNumberFormat="1" applyFont="1" applyFill="1" applyBorder="1" applyAlignment="1">
      <alignment horizontal="right" vertical="center" wrapText="1"/>
    </xf>
    <xf numFmtId="169" fontId="1" fillId="7" borderId="11" xfId="0" applyNumberFormat="1" applyFont="1" applyFill="1" applyBorder="1" applyAlignment="1">
      <alignment horizontal="right" vertical="center" wrapText="1"/>
    </xf>
    <xf numFmtId="3" fontId="1" fillId="7" borderId="11" xfId="0" applyNumberFormat="1" applyFont="1" applyFill="1" applyBorder="1" applyAlignment="1">
      <alignment horizontal="right" vertical="center" wrapText="1"/>
    </xf>
    <xf numFmtId="0" fontId="15" fillId="6" borderId="20" xfId="0" applyFont="1" applyFill="1" applyBorder="1" applyAlignment="1">
      <alignment horizontal="center" wrapText="1" indent="1"/>
    </xf>
    <xf numFmtId="0" fontId="16" fillId="7" borderId="14" xfId="1" applyFont="1" applyFill="1" applyBorder="1" applyAlignment="1">
      <alignment horizontal="left" vertical="center" wrapText="1" indent="1"/>
    </xf>
    <xf numFmtId="0" fontId="15" fillId="6" borderId="23" xfId="0" applyFont="1" applyFill="1" applyBorder="1" applyAlignment="1">
      <alignment horizontal="center" wrapText="1"/>
    </xf>
    <xf numFmtId="10" fontId="1" fillId="7" borderId="17" xfId="0" applyNumberFormat="1" applyFont="1" applyFill="1" applyBorder="1" applyAlignment="1">
      <alignment horizontal="right" vertical="center" wrapText="1"/>
    </xf>
    <xf numFmtId="0" fontId="1" fillId="8" borderId="0" xfId="0" applyFont="1" applyFill="1" applyBorder="1" applyAlignment="1">
      <alignment horizontal="right" vertical="center" wrapText="1"/>
    </xf>
    <xf numFmtId="3" fontId="1" fillId="8" borderId="0" xfId="0" applyNumberFormat="1" applyFont="1" applyFill="1" applyBorder="1" applyAlignment="1">
      <alignment horizontal="right" vertical="center" wrapText="1"/>
    </xf>
    <xf numFmtId="167" fontId="1" fillId="8" borderId="0" xfId="0" applyNumberFormat="1" applyFont="1" applyFill="1" applyBorder="1" applyAlignment="1">
      <alignment horizontal="right" vertical="center" wrapText="1"/>
    </xf>
    <xf numFmtId="168" fontId="6" fillId="8" borderId="0" xfId="0" applyNumberFormat="1" applyFont="1" applyFill="1" applyBorder="1" applyAlignment="1">
      <alignment horizontal="right" vertical="center" wrapText="1"/>
    </xf>
    <xf numFmtId="169" fontId="6" fillId="8" borderId="0" xfId="0" applyNumberFormat="1" applyFont="1" applyFill="1" applyBorder="1" applyAlignment="1">
      <alignment horizontal="right" vertical="center" wrapText="1"/>
    </xf>
    <xf numFmtId="170" fontId="16" fillId="8" borderId="0" xfId="1" applyNumberFormat="1" applyFont="1" applyFill="1" applyBorder="1" applyAlignment="1">
      <alignment horizontal="right" vertical="center" wrapText="1" indent="1"/>
    </xf>
    <xf numFmtId="168" fontId="6" fillId="7" borderId="18" xfId="0" applyNumberFormat="1" applyFont="1" applyFill="1" applyBorder="1" applyAlignment="1">
      <alignment horizontal="right" vertical="center" wrapText="1"/>
    </xf>
    <xf numFmtId="169" fontId="6" fillId="7" borderId="18" xfId="0" applyNumberFormat="1" applyFont="1" applyFill="1" applyBorder="1" applyAlignment="1">
      <alignment horizontal="right" vertical="center" wrapText="1"/>
    </xf>
    <xf numFmtId="0" fontId="16" fillId="8" borderId="5" xfId="1" applyFont="1" applyFill="1" applyBorder="1" applyAlignment="1">
      <alignment horizontal="left" vertical="center" wrapText="1" indent="1"/>
    </xf>
    <xf numFmtId="10" fontId="1" fillId="8" borderId="6" xfId="0" applyNumberFormat="1" applyFont="1" applyFill="1" applyBorder="1" applyAlignment="1">
      <alignment horizontal="right" vertical="center" wrapText="1"/>
    </xf>
    <xf numFmtId="168" fontId="7" fillId="7" borderId="18" xfId="0" applyNumberFormat="1" applyFont="1" applyFill="1" applyBorder="1" applyAlignment="1">
      <alignment horizontal="right" vertical="center" wrapText="1"/>
    </xf>
    <xf numFmtId="169" fontId="7" fillId="7" borderId="18" xfId="0" applyNumberFormat="1" applyFont="1" applyFill="1" applyBorder="1" applyAlignment="1">
      <alignment horizontal="right" vertical="center" wrapText="1"/>
    </xf>
    <xf numFmtId="168" fontId="6" fillId="7" borderId="11" xfId="0" applyNumberFormat="1" applyFont="1" applyFill="1" applyBorder="1" applyAlignment="1">
      <alignment horizontal="right" vertical="center" wrapText="1"/>
    </xf>
    <xf numFmtId="169" fontId="6" fillId="7" borderId="11" xfId="0" applyNumberFormat="1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'Put Skew'!$E$2</c:f>
              <c:strCache>
                <c:ptCount val="1"/>
                <c:pt idx="0">
                  <c:v>Implied Volatility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'Put Skew'!$C$3:$C$116</c:f>
              <c:numCache>
                <c:formatCode>General</c:formatCode>
                <c:ptCount val="114"/>
                <c:pt idx="0">
                  <c:v>240</c:v>
                </c:pt>
                <c:pt idx="1">
                  <c:v>250</c:v>
                </c:pt>
                <c:pt idx="2">
                  <c:v>270</c:v>
                </c:pt>
                <c:pt idx="3">
                  <c:v>275</c:v>
                </c:pt>
                <c:pt idx="4">
                  <c:v>280</c:v>
                </c:pt>
                <c:pt idx="5">
                  <c:v>285</c:v>
                </c:pt>
                <c:pt idx="6">
                  <c:v>290</c:v>
                </c:pt>
                <c:pt idx="7">
                  <c:v>295</c:v>
                </c:pt>
                <c:pt idx="8">
                  <c:v>300</c:v>
                </c:pt>
                <c:pt idx="9">
                  <c:v>305</c:v>
                </c:pt>
                <c:pt idx="10">
                  <c:v>310</c:v>
                </c:pt>
                <c:pt idx="11">
                  <c:v>315</c:v>
                </c:pt>
                <c:pt idx="12">
                  <c:v>320</c:v>
                </c:pt>
                <c:pt idx="13">
                  <c:v>325</c:v>
                </c:pt>
                <c:pt idx="14">
                  <c:v>330</c:v>
                </c:pt>
                <c:pt idx="15">
                  <c:v>335</c:v>
                </c:pt>
                <c:pt idx="16">
                  <c:v>340</c:v>
                </c:pt>
                <c:pt idx="17">
                  <c:v>345</c:v>
                </c:pt>
                <c:pt idx="18">
                  <c:v>350</c:v>
                </c:pt>
                <c:pt idx="19">
                  <c:v>355</c:v>
                </c:pt>
                <c:pt idx="20">
                  <c:v>358</c:v>
                </c:pt>
                <c:pt idx="21">
                  <c:v>360</c:v>
                </c:pt>
                <c:pt idx="22">
                  <c:v>362</c:v>
                </c:pt>
                <c:pt idx="23">
                  <c:v>364</c:v>
                </c:pt>
                <c:pt idx="24">
                  <c:v>365</c:v>
                </c:pt>
                <c:pt idx="25">
                  <c:v>366</c:v>
                </c:pt>
                <c:pt idx="26">
                  <c:v>368</c:v>
                </c:pt>
                <c:pt idx="27">
                  <c:v>370</c:v>
                </c:pt>
                <c:pt idx="28">
                  <c:v>372</c:v>
                </c:pt>
                <c:pt idx="29">
                  <c:v>375</c:v>
                </c:pt>
                <c:pt idx="30">
                  <c:v>380</c:v>
                </c:pt>
                <c:pt idx="31">
                  <c:v>385</c:v>
                </c:pt>
                <c:pt idx="32">
                  <c:v>390</c:v>
                </c:pt>
                <c:pt idx="33">
                  <c:v>395</c:v>
                </c:pt>
                <c:pt idx="34">
                  <c:v>398</c:v>
                </c:pt>
                <c:pt idx="35">
                  <c:v>400</c:v>
                </c:pt>
                <c:pt idx="36">
                  <c:v>402</c:v>
                </c:pt>
                <c:pt idx="37">
                  <c:v>403</c:v>
                </c:pt>
                <c:pt idx="38">
                  <c:v>404</c:v>
                </c:pt>
                <c:pt idx="39">
                  <c:v>405</c:v>
                </c:pt>
                <c:pt idx="40">
                  <c:v>406</c:v>
                </c:pt>
                <c:pt idx="41">
                  <c:v>408</c:v>
                </c:pt>
                <c:pt idx="42">
                  <c:v>409</c:v>
                </c:pt>
                <c:pt idx="43">
                  <c:v>410</c:v>
                </c:pt>
                <c:pt idx="44">
                  <c:v>411</c:v>
                </c:pt>
                <c:pt idx="45">
                  <c:v>412</c:v>
                </c:pt>
                <c:pt idx="46">
                  <c:v>413</c:v>
                </c:pt>
                <c:pt idx="47">
                  <c:v>414</c:v>
                </c:pt>
                <c:pt idx="48">
                  <c:v>415</c:v>
                </c:pt>
                <c:pt idx="49">
                  <c:v>416</c:v>
                </c:pt>
                <c:pt idx="50">
                  <c:v>417</c:v>
                </c:pt>
                <c:pt idx="51">
                  <c:v>417.5</c:v>
                </c:pt>
                <c:pt idx="52">
                  <c:v>418</c:v>
                </c:pt>
                <c:pt idx="53">
                  <c:v>419</c:v>
                </c:pt>
                <c:pt idx="54">
                  <c:v>420</c:v>
                </c:pt>
                <c:pt idx="55">
                  <c:v>421</c:v>
                </c:pt>
                <c:pt idx="56">
                  <c:v>422</c:v>
                </c:pt>
                <c:pt idx="57">
                  <c:v>422.5</c:v>
                </c:pt>
                <c:pt idx="58">
                  <c:v>423</c:v>
                </c:pt>
                <c:pt idx="59">
                  <c:v>424</c:v>
                </c:pt>
                <c:pt idx="60">
                  <c:v>425</c:v>
                </c:pt>
                <c:pt idx="61">
                  <c:v>426</c:v>
                </c:pt>
                <c:pt idx="62">
                  <c:v>427</c:v>
                </c:pt>
                <c:pt idx="63">
                  <c:v>427.5</c:v>
                </c:pt>
                <c:pt idx="64">
                  <c:v>428</c:v>
                </c:pt>
                <c:pt idx="65">
                  <c:v>429</c:v>
                </c:pt>
                <c:pt idx="66">
                  <c:v>430</c:v>
                </c:pt>
                <c:pt idx="67">
                  <c:v>431</c:v>
                </c:pt>
                <c:pt idx="68">
                  <c:v>432</c:v>
                </c:pt>
                <c:pt idx="69">
                  <c:v>432.5</c:v>
                </c:pt>
                <c:pt idx="70">
                  <c:v>433</c:v>
                </c:pt>
                <c:pt idx="71">
                  <c:v>434</c:v>
                </c:pt>
                <c:pt idx="72">
                  <c:v>435</c:v>
                </c:pt>
                <c:pt idx="73">
                  <c:v>436</c:v>
                </c:pt>
                <c:pt idx="74">
                  <c:v>437</c:v>
                </c:pt>
                <c:pt idx="75">
                  <c:v>437.5</c:v>
                </c:pt>
                <c:pt idx="76">
                  <c:v>438</c:v>
                </c:pt>
                <c:pt idx="77">
                  <c:v>439</c:v>
                </c:pt>
                <c:pt idx="78">
                  <c:v>440</c:v>
                </c:pt>
                <c:pt idx="79">
                  <c:v>441</c:v>
                </c:pt>
                <c:pt idx="80">
                  <c:v>442</c:v>
                </c:pt>
                <c:pt idx="81">
                  <c:v>442.5</c:v>
                </c:pt>
                <c:pt idx="82">
                  <c:v>443</c:v>
                </c:pt>
                <c:pt idx="83">
                  <c:v>444</c:v>
                </c:pt>
                <c:pt idx="84">
                  <c:v>445</c:v>
                </c:pt>
                <c:pt idx="85">
                  <c:v>446</c:v>
                </c:pt>
                <c:pt idx="86">
                  <c:v>447</c:v>
                </c:pt>
                <c:pt idx="87">
                  <c:v>447.5</c:v>
                </c:pt>
                <c:pt idx="88">
                  <c:v>448</c:v>
                </c:pt>
                <c:pt idx="89">
                  <c:v>449</c:v>
                </c:pt>
                <c:pt idx="90">
                  <c:v>450</c:v>
                </c:pt>
                <c:pt idx="91">
                  <c:v>451</c:v>
                </c:pt>
                <c:pt idx="92">
                  <c:v>452</c:v>
                </c:pt>
                <c:pt idx="93">
                  <c:v>452.5</c:v>
                </c:pt>
                <c:pt idx="94">
                  <c:v>453</c:v>
                </c:pt>
                <c:pt idx="95">
                  <c:v>454</c:v>
                </c:pt>
                <c:pt idx="96">
                  <c:v>455</c:v>
                </c:pt>
                <c:pt idx="97">
                  <c:v>456</c:v>
                </c:pt>
                <c:pt idx="98">
                  <c:v>457</c:v>
                </c:pt>
                <c:pt idx="99">
                  <c:v>457.5</c:v>
                </c:pt>
                <c:pt idx="100">
                  <c:v>458</c:v>
                </c:pt>
                <c:pt idx="101">
                  <c:v>459</c:v>
                </c:pt>
                <c:pt idx="102">
                  <c:v>460</c:v>
                </c:pt>
                <c:pt idx="103">
                  <c:v>462</c:v>
                </c:pt>
                <c:pt idx="104">
                  <c:v>462.5</c:v>
                </c:pt>
                <c:pt idx="105">
                  <c:v>464</c:v>
                </c:pt>
                <c:pt idx="106">
                  <c:v>465</c:v>
                </c:pt>
                <c:pt idx="107">
                  <c:v>466</c:v>
                </c:pt>
                <c:pt idx="108">
                  <c:v>467.5</c:v>
                </c:pt>
                <c:pt idx="109">
                  <c:v>468</c:v>
                </c:pt>
                <c:pt idx="110">
                  <c:v>470</c:v>
                </c:pt>
                <c:pt idx="111">
                  <c:v>480</c:v>
                </c:pt>
                <c:pt idx="112">
                  <c:v>490</c:v>
                </c:pt>
                <c:pt idx="113">
                  <c:v>500</c:v>
                </c:pt>
              </c:numCache>
            </c:numRef>
          </c:xVal>
          <c:yVal>
            <c:numRef>
              <c:f>'Put Skew'!$E$3:$E$116</c:f>
              <c:numCache>
                <c:formatCode>0.00%</c:formatCode>
                <c:ptCount val="114"/>
                <c:pt idx="0">
                  <c:v>0.69104584378642897</c:v>
                </c:pt>
                <c:pt idx="1">
                  <c:v>0.66713928744434603</c:v>
                </c:pt>
                <c:pt idx="2">
                  <c:v>0.64406639085247397</c:v>
                </c:pt>
                <c:pt idx="3">
                  <c:v>0.58361091151365829</c:v>
                </c:pt>
                <c:pt idx="4">
                  <c:v>0.56997603175115752</c:v>
                </c:pt>
                <c:pt idx="5">
                  <c:v>0.60007334787456823</c:v>
                </c:pt>
                <c:pt idx="6">
                  <c:v>0.55030524740344744</c:v>
                </c:pt>
                <c:pt idx="7">
                  <c:v>0.53714690445264213</c:v>
                </c:pt>
                <c:pt idx="8">
                  <c:v>0.52104554586703244</c:v>
                </c:pt>
                <c:pt idx="9">
                  <c:v>0.53350568508584184</c:v>
                </c:pt>
                <c:pt idx="10">
                  <c:v>0.48818981380502607</c:v>
                </c:pt>
                <c:pt idx="11">
                  <c:v>0.48548191308476174</c:v>
                </c:pt>
                <c:pt idx="12">
                  <c:v>0.47816186201614408</c:v>
                </c:pt>
                <c:pt idx="13">
                  <c:v>0.45430532341519503</c:v>
                </c:pt>
                <c:pt idx="14">
                  <c:v>0.43462151690663109</c:v>
                </c:pt>
                <c:pt idx="15">
                  <c:v>0.42968396041675938</c:v>
                </c:pt>
                <c:pt idx="16">
                  <c:v>0.41600379907003593</c:v>
                </c:pt>
                <c:pt idx="17">
                  <c:v>0.4052600541024497</c:v>
                </c:pt>
                <c:pt idx="18">
                  <c:v>0.38978007837404205</c:v>
                </c:pt>
                <c:pt idx="19">
                  <c:v>0.37911137960416746</c:v>
                </c:pt>
                <c:pt idx="20">
                  <c:v>0.36890127927816985</c:v>
                </c:pt>
                <c:pt idx="21">
                  <c:v>0.36158116446985245</c:v>
                </c:pt>
                <c:pt idx="22">
                  <c:v>0.3520471959853223</c:v>
                </c:pt>
                <c:pt idx="23">
                  <c:v>0.35372186032361608</c:v>
                </c:pt>
                <c:pt idx="24">
                  <c:v>0.34854810577566747</c:v>
                </c:pt>
                <c:pt idx="25">
                  <c:v>0.39868800280132455</c:v>
                </c:pt>
                <c:pt idx="26">
                  <c:v>0.33706017446214831</c:v>
                </c:pt>
                <c:pt idx="27">
                  <c:v>0.34426800646855465</c:v>
                </c:pt>
                <c:pt idx="28">
                  <c:v>0.32765356059363193</c:v>
                </c:pt>
                <c:pt idx="29">
                  <c:v>0.32634738068441477</c:v>
                </c:pt>
                <c:pt idx="30">
                  <c:v>0.31271301237910004</c:v>
                </c:pt>
                <c:pt idx="31">
                  <c:v>0.30248321566325082</c:v>
                </c:pt>
                <c:pt idx="32">
                  <c:v>0.29842006055518799</c:v>
                </c:pt>
                <c:pt idx="33">
                  <c:v>0.28976937734062008</c:v>
                </c:pt>
                <c:pt idx="34">
                  <c:v>0.28595201766158568</c:v>
                </c:pt>
                <c:pt idx="35">
                  <c:v>0.27105573886410722</c:v>
                </c:pt>
                <c:pt idx="36">
                  <c:v>0.27310253627234315</c:v>
                </c:pt>
                <c:pt idx="37">
                  <c:v>0.25458644193431407</c:v>
                </c:pt>
                <c:pt idx="38">
                  <c:v>0.25680721379484328</c:v>
                </c:pt>
                <c:pt idx="39">
                  <c:v>0.2680610378979848</c:v>
                </c:pt>
                <c:pt idx="40">
                  <c:v>0.25192996836522302</c:v>
                </c:pt>
                <c:pt idx="41">
                  <c:v>0.26270716891665175</c:v>
                </c:pt>
                <c:pt idx="42">
                  <c:v>0.25408367503603763</c:v>
                </c:pt>
                <c:pt idx="43">
                  <c:v>0.254517810310043</c:v>
                </c:pt>
                <c:pt idx="44">
                  <c:v>0.25517126726050804</c:v>
                </c:pt>
                <c:pt idx="45">
                  <c:v>0.2351739941364962</c:v>
                </c:pt>
                <c:pt idx="46">
                  <c:v>0.24552433979059846</c:v>
                </c:pt>
                <c:pt idx="47">
                  <c:v>0.25103489158406683</c:v>
                </c:pt>
                <c:pt idx="48">
                  <c:v>0.24704691621818833</c:v>
                </c:pt>
                <c:pt idx="49">
                  <c:v>0.24319562455164387</c:v>
                </c:pt>
                <c:pt idx="50">
                  <c:v>0.2344518015973065</c:v>
                </c:pt>
                <c:pt idx="51">
                  <c:v>0.22240418384861957</c:v>
                </c:pt>
                <c:pt idx="52">
                  <c:v>0.22095141925460443</c:v>
                </c:pt>
                <c:pt idx="53">
                  <c:v>0.23831084643828876</c:v>
                </c:pt>
                <c:pt idx="54">
                  <c:v>0.23388055524552545</c:v>
                </c:pt>
                <c:pt idx="55">
                  <c:v>0.22642086131747882</c:v>
                </c:pt>
                <c:pt idx="56">
                  <c:v>0.22136887885408285</c:v>
                </c:pt>
                <c:pt idx="57">
                  <c:v>0.20807161786144918</c:v>
                </c:pt>
                <c:pt idx="58">
                  <c:v>0.21565942822608508</c:v>
                </c:pt>
                <c:pt idx="59">
                  <c:v>0.21550613974913621</c:v>
                </c:pt>
                <c:pt idx="60">
                  <c:v>0.21606312310356093</c:v>
                </c:pt>
                <c:pt idx="61">
                  <c:v>0.20108781260199662</c:v>
                </c:pt>
                <c:pt idx="62">
                  <c:v>0.2177217304692631</c:v>
                </c:pt>
                <c:pt idx="63">
                  <c:v>0.20153803856550456</c:v>
                </c:pt>
                <c:pt idx="64">
                  <c:v>0.21459345959964457</c:v>
                </c:pt>
                <c:pt idx="65">
                  <c:v>0.2005006918799849</c:v>
                </c:pt>
                <c:pt idx="66">
                  <c:v>0.20681918537461574</c:v>
                </c:pt>
                <c:pt idx="67">
                  <c:v>0.18881016333325423</c:v>
                </c:pt>
                <c:pt idx="68">
                  <c:v>0.18416837452970544</c:v>
                </c:pt>
                <c:pt idx="69">
                  <c:v>0.17555459104900928</c:v>
                </c:pt>
                <c:pt idx="70">
                  <c:v>0.19021707652674627</c:v>
                </c:pt>
                <c:pt idx="71">
                  <c:v>0.19328794200315408</c:v>
                </c:pt>
                <c:pt idx="72">
                  <c:v>0.19412107278678509</c:v>
                </c:pt>
                <c:pt idx="73">
                  <c:v>0.17902071295747332</c:v>
                </c:pt>
                <c:pt idx="74">
                  <c:v>0.17040765115537371</c:v>
                </c:pt>
                <c:pt idx="75">
                  <c:v>0.16896824206532574</c:v>
                </c:pt>
                <c:pt idx="76">
                  <c:v>0.15042049939140542</c:v>
                </c:pt>
                <c:pt idx="77">
                  <c:v>0.1524454223922298</c:v>
                </c:pt>
                <c:pt idx="78">
                  <c:v>0.17817414584084312</c:v>
                </c:pt>
                <c:pt idx="79">
                  <c:v>0.17486692183500402</c:v>
                </c:pt>
                <c:pt idx="80">
                  <c:v>0.1361399137662396</c:v>
                </c:pt>
                <c:pt idx="81">
                  <c:v>0.15516782491236883</c:v>
                </c:pt>
                <c:pt idx="82">
                  <c:v>0.11970353621978155</c:v>
                </c:pt>
                <c:pt idx="83">
                  <c:v>0.16371920256772499</c:v>
                </c:pt>
                <c:pt idx="84">
                  <c:v>0.1604789761580096</c:v>
                </c:pt>
                <c:pt idx="85">
                  <c:v>0.16950000000000001</c:v>
                </c:pt>
                <c:pt idx="86">
                  <c:v>0.10927420928899288</c:v>
                </c:pt>
                <c:pt idx="87">
                  <c:v>0.15246861226849012</c:v>
                </c:pt>
                <c:pt idx="88">
                  <c:v>8.1627274773287142E-2</c:v>
                </c:pt>
                <c:pt idx="89">
                  <c:v>9.8840041469110185E-2</c:v>
                </c:pt>
                <c:pt idx="90">
                  <c:v>8.7620737220489173E-2</c:v>
                </c:pt>
                <c:pt idx="91">
                  <c:v>0.10126123335687821</c:v>
                </c:pt>
                <c:pt idx="92">
                  <c:v>0.13734004610545253</c:v>
                </c:pt>
                <c:pt idx="93">
                  <c:v>1.4688E-2</c:v>
                </c:pt>
                <c:pt idx="94">
                  <c:v>0.12016039961611423</c:v>
                </c:pt>
                <c:pt idx="95">
                  <c:v>1.6685369620276863E-2</c:v>
                </c:pt>
                <c:pt idx="96">
                  <c:v>0.11336304804362742</c:v>
                </c:pt>
                <c:pt idx="97">
                  <c:v>1.411199999999954E-2</c:v>
                </c:pt>
                <c:pt idx="98">
                  <c:v>1.413899999999956E-2</c:v>
                </c:pt>
                <c:pt idx="99">
                  <c:v>1.413899999999956E-2</c:v>
                </c:pt>
                <c:pt idx="100">
                  <c:v>1.4165999999999557E-2</c:v>
                </c:pt>
                <c:pt idx="101">
                  <c:v>1.424699999999954E-2</c:v>
                </c:pt>
                <c:pt idx="102">
                  <c:v>7.5364731580081695E-2</c:v>
                </c:pt>
                <c:pt idx="103">
                  <c:v>1.488599999999954E-2</c:v>
                </c:pt>
                <c:pt idx="104">
                  <c:v>1.4966999999999536E-2</c:v>
                </c:pt>
                <c:pt idx="105">
                  <c:v>1.5362999999999523E-2</c:v>
                </c:pt>
                <c:pt idx="106">
                  <c:v>0</c:v>
                </c:pt>
                <c:pt idx="107">
                  <c:v>1.5812999999999487E-2</c:v>
                </c:pt>
                <c:pt idx="108">
                  <c:v>1.6163999999999529E-2</c:v>
                </c:pt>
                <c:pt idx="109">
                  <c:v>1.6406999999999495E-2</c:v>
                </c:pt>
                <c:pt idx="110">
                  <c:v>3.0526151529346665E-2</c:v>
                </c:pt>
                <c:pt idx="111">
                  <c:v>2.0762999999999355E-2</c:v>
                </c:pt>
                <c:pt idx="112">
                  <c:v>2.3813999999999304E-2</c:v>
                </c:pt>
                <c:pt idx="113">
                  <c:v>2.6711999999999101E-2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86-4EB3-8164-FF9C78E45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139631"/>
        <c:axId val="520141071"/>
      </c:scatterChart>
      <c:valAx>
        <c:axId val="520139631"/>
        <c:scaling>
          <c:orientation val="minMax"/>
          <c:min val="3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141071"/>
        <c:crosses val="autoZero"/>
        <c:crossBetween val="midCat"/>
        <c:majorUnit val="40"/>
      </c:valAx>
      <c:valAx>
        <c:axId val="52014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139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Volatility Skew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Skew!$C$3:$C$102</c:f>
              <c:numCache>
                <c:formatCode>General</c:formatCode>
                <c:ptCount val="100"/>
                <c:pt idx="0">
                  <c:v>375</c:v>
                </c:pt>
                <c:pt idx="1">
                  <c:v>380</c:v>
                </c:pt>
                <c:pt idx="2">
                  <c:v>385</c:v>
                </c:pt>
                <c:pt idx="3">
                  <c:v>390</c:v>
                </c:pt>
                <c:pt idx="4">
                  <c:v>395</c:v>
                </c:pt>
                <c:pt idx="5">
                  <c:v>400</c:v>
                </c:pt>
                <c:pt idx="6">
                  <c:v>402</c:v>
                </c:pt>
                <c:pt idx="7">
                  <c:v>403</c:v>
                </c:pt>
                <c:pt idx="8">
                  <c:v>405</c:v>
                </c:pt>
                <c:pt idx="9">
                  <c:v>406</c:v>
                </c:pt>
                <c:pt idx="10">
                  <c:v>408</c:v>
                </c:pt>
                <c:pt idx="11">
                  <c:v>409</c:v>
                </c:pt>
                <c:pt idx="12">
                  <c:v>410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417.5</c:v>
                </c:pt>
                <c:pt idx="17">
                  <c:v>420</c:v>
                </c:pt>
                <c:pt idx="18">
                  <c:v>421</c:v>
                </c:pt>
                <c:pt idx="19">
                  <c:v>422.5</c:v>
                </c:pt>
                <c:pt idx="20">
                  <c:v>424</c:v>
                </c:pt>
                <c:pt idx="21">
                  <c:v>425</c:v>
                </c:pt>
                <c:pt idx="22">
                  <c:v>426</c:v>
                </c:pt>
                <c:pt idx="23">
                  <c:v>427</c:v>
                </c:pt>
                <c:pt idx="24">
                  <c:v>427.5</c:v>
                </c:pt>
                <c:pt idx="25">
                  <c:v>428</c:v>
                </c:pt>
                <c:pt idx="26">
                  <c:v>430</c:v>
                </c:pt>
                <c:pt idx="27">
                  <c:v>431</c:v>
                </c:pt>
                <c:pt idx="28">
                  <c:v>432</c:v>
                </c:pt>
                <c:pt idx="29">
                  <c:v>432.5</c:v>
                </c:pt>
                <c:pt idx="30">
                  <c:v>434</c:v>
                </c:pt>
                <c:pt idx="31">
                  <c:v>435</c:v>
                </c:pt>
                <c:pt idx="32">
                  <c:v>436</c:v>
                </c:pt>
                <c:pt idx="33">
                  <c:v>437</c:v>
                </c:pt>
                <c:pt idx="34">
                  <c:v>437.5</c:v>
                </c:pt>
                <c:pt idx="35">
                  <c:v>438</c:v>
                </c:pt>
                <c:pt idx="36">
                  <c:v>439</c:v>
                </c:pt>
                <c:pt idx="37">
                  <c:v>440</c:v>
                </c:pt>
                <c:pt idx="38">
                  <c:v>441</c:v>
                </c:pt>
                <c:pt idx="39">
                  <c:v>442</c:v>
                </c:pt>
                <c:pt idx="40">
                  <c:v>442.5</c:v>
                </c:pt>
                <c:pt idx="41">
                  <c:v>443</c:v>
                </c:pt>
                <c:pt idx="42">
                  <c:v>444</c:v>
                </c:pt>
                <c:pt idx="43">
                  <c:v>445</c:v>
                </c:pt>
                <c:pt idx="44">
                  <c:v>446</c:v>
                </c:pt>
                <c:pt idx="45">
                  <c:v>447</c:v>
                </c:pt>
                <c:pt idx="46">
                  <c:v>447.5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452.5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457.5</c:v>
                </c:pt>
                <c:pt idx="59">
                  <c:v>458</c:v>
                </c:pt>
                <c:pt idx="60">
                  <c:v>459</c:v>
                </c:pt>
                <c:pt idx="61">
                  <c:v>460</c:v>
                </c:pt>
                <c:pt idx="62">
                  <c:v>461</c:v>
                </c:pt>
                <c:pt idx="63">
                  <c:v>462</c:v>
                </c:pt>
                <c:pt idx="64">
                  <c:v>462.5</c:v>
                </c:pt>
                <c:pt idx="65">
                  <c:v>463</c:v>
                </c:pt>
                <c:pt idx="66">
                  <c:v>464</c:v>
                </c:pt>
                <c:pt idx="67">
                  <c:v>465</c:v>
                </c:pt>
                <c:pt idx="68">
                  <c:v>466</c:v>
                </c:pt>
                <c:pt idx="69">
                  <c:v>467</c:v>
                </c:pt>
                <c:pt idx="70">
                  <c:v>467.5</c:v>
                </c:pt>
                <c:pt idx="71">
                  <c:v>468</c:v>
                </c:pt>
                <c:pt idx="72">
                  <c:v>469</c:v>
                </c:pt>
                <c:pt idx="73">
                  <c:v>470</c:v>
                </c:pt>
                <c:pt idx="74">
                  <c:v>471</c:v>
                </c:pt>
                <c:pt idx="75">
                  <c:v>472</c:v>
                </c:pt>
                <c:pt idx="76">
                  <c:v>472.5</c:v>
                </c:pt>
                <c:pt idx="77">
                  <c:v>473</c:v>
                </c:pt>
                <c:pt idx="78">
                  <c:v>474</c:v>
                </c:pt>
                <c:pt idx="79">
                  <c:v>475</c:v>
                </c:pt>
                <c:pt idx="80">
                  <c:v>476</c:v>
                </c:pt>
                <c:pt idx="81">
                  <c:v>477</c:v>
                </c:pt>
                <c:pt idx="82">
                  <c:v>477.5</c:v>
                </c:pt>
                <c:pt idx="83">
                  <c:v>478</c:v>
                </c:pt>
                <c:pt idx="84">
                  <c:v>479</c:v>
                </c:pt>
                <c:pt idx="85">
                  <c:v>480</c:v>
                </c:pt>
                <c:pt idx="86">
                  <c:v>482</c:v>
                </c:pt>
                <c:pt idx="87">
                  <c:v>482.5</c:v>
                </c:pt>
                <c:pt idx="88">
                  <c:v>483</c:v>
                </c:pt>
                <c:pt idx="89">
                  <c:v>484</c:v>
                </c:pt>
                <c:pt idx="90">
                  <c:v>485</c:v>
                </c:pt>
                <c:pt idx="91">
                  <c:v>486</c:v>
                </c:pt>
                <c:pt idx="92">
                  <c:v>487</c:v>
                </c:pt>
                <c:pt idx="93">
                  <c:v>488</c:v>
                </c:pt>
                <c:pt idx="94">
                  <c:v>490</c:v>
                </c:pt>
                <c:pt idx="95">
                  <c:v>495</c:v>
                </c:pt>
                <c:pt idx="96">
                  <c:v>500</c:v>
                </c:pt>
                <c:pt idx="97">
                  <c:v>510</c:v>
                </c:pt>
                <c:pt idx="98">
                  <c:v>520</c:v>
                </c:pt>
                <c:pt idx="99">
                  <c:v>540</c:v>
                </c:pt>
              </c:numCache>
            </c:numRef>
          </c:xVal>
          <c:yVal>
            <c:numRef>
              <c:f>Skew!$K$3:$K$102</c:f>
              <c:numCache>
                <c:formatCode>0.00%</c:formatCode>
                <c:ptCount val="100"/>
                <c:pt idx="0">
                  <c:v>0.316</c:v>
                </c:pt>
                <c:pt idx="1">
                  <c:v>0.308</c:v>
                </c:pt>
                <c:pt idx="2">
                  <c:v>0.2999</c:v>
                </c:pt>
                <c:pt idx="3">
                  <c:v>0.2903</c:v>
                </c:pt>
                <c:pt idx="4">
                  <c:v>0.28170000000000001</c:v>
                </c:pt>
                <c:pt idx="5">
                  <c:v>0.2717</c:v>
                </c:pt>
                <c:pt idx="6">
                  <c:v>0.26800000000000002</c:v>
                </c:pt>
                <c:pt idx="7">
                  <c:v>0.26619999999999999</c:v>
                </c:pt>
                <c:pt idx="8">
                  <c:v>0.26069999999999999</c:v>
                </c:pt>
                <c:pt idx="9">
                  <c:v>0.25879999999999997</c:v>
                </c:pt>
                <c:pt idx="10">
                  <c:v>0.25459999999999999</c:v>
                </c:pt>
                <c:pt idx="11">
                  <c:v>0.25259999999999999</c:v>
                </c:pt>
                <c:pt idx="12">
                  <c:v>0.25040000000000001</c:v>
                </c:pt>
                <c:pt idx="13">
                  <c:v>0.2417</c:v>
                </c:pt>
                <c:pt idx="14">
                  <c:v>0.2397</c:v>
                </c:pt>
                <c:pt idx="15">
                  <c:v>0.23730000000000001</c:v>
                </c:pt>
                <c:pt idx="16">
                  <c:v>0.2339</c:v>
                </c:pt>
                <c:pt idx="17">
                  <c:v>0.22789999999999999</c:v>
                </c:pt>
                <c:pt idx="18">
                  <c:v>0.22550000000000001</c:v>
                </c:pt>
                <c:pt idx="19">
                  <c:v>0.22170000000000001</c:v>
                </c:pt>
                <c:pt idx="20">
                  <c:v>0.21790000000000001</c:v>
                </c:pt>
                <c:pt idx="21">
                  <c:v>0.21529999999999999</c:v>
                </c:pt>
                <c:pt idx="22">
                  <c:v>0.21260000000000001</c:v>
                </c:pt>
                <c:pt idx="23">
                  <c:v>0.2099</c:v>
                </c:pt>
                <c:pt idx="24">
                  <c:v>0.20849999999999999</c:v>
                </c:pt>
                <c:pt idx="25">
                  <c:v>0.20710000000000001</c:v>
                </c:pt>
                <c:pt idx="26">
                  <c:v>0.20150000000000001</c:v>
                </c:pt>
                <c:pt idx="27">
                  <c:v>0.1976</c:v>
                </c:pt>
                <c:pt idx="28">
                  <c:v>0.1946</c:v>
                </c:pt>
                <c:pt idx="29">
                  <c:v>0.1933</c:v>
                </c:pt>
                <c:pt idx="30">
                  <c:v>0.1888</c:v>
                </c:pt>
                <c:pt idx="31">
                  <c:v>0.18590000000000001</c:v>
                </c:pt>
                <c:pt idx="32">
                  <c:v>0.18279999999999999</c:v>
                </c:pt>
                <c:pt idx="33">
                  <c:v>0.17979999999999999</c:v>
                </c:pt>
                <c:pt idx="34">
                  <c:v>0.17829999999999999</c:v>
                </c:pt>
                <c:pt idx="35">
                  <c:v>0.1767</c:v>
                </c:pt>
                <c:pt idx="36">
                  <c:v>0.1736</c:v>
                </c:pt>
                <c:pt idx="37">
                  <c:v>0.17050000000000001</c:v>
                </c:pt>
                <c:pt idx="38">
                  <c:v>0.16750000000000001</c:v>
                </c:pt>
                <c:pt idx="39">
                  <c:v>0.16450000000000001</c:v>
                </c:pt>
                <c:pt idx="40">
                  <c:v>0.16300000000000001</c:v>
                </c:pt>
                <c:pt idx="41">
                  <c:v>0.16159999999999999</c:v>
                </c:pt>
                <c:pt idx="42">
                  <c:v>0.1585</c:v>
                </c:pt>
                <c:pt idx="43">
                  <c:v>0.15559999999999999</c:v>
                </c:pt>
                <c:pt idx="44">
                  <c:v>0.15290000000000001</c:v>
                </c:pt>
                <c:pt idx="45">
                  <c:v>0.15010000000000001</c:v>
                </c:pt>
                <c:pt idx="46">
                  <c:v>0.1487</c:v>
                </c:pt>
                <c:pt idx="47">
                  <c:v>0.1472</c:v>
                </c:pt>
                <c:pt idx="48">
                  <c:v>0.1447</c:v>
                </c:pt>
                <c:pt idx="49">
                  <c:v>0.1421</c:v>
                </c:pt>
                <c:pt idx="50">
                  <c:v>0.13969999999999999</c:v>
                </c:pt>
                <c:pt idx="51">
                  <c:v>0.13750000000000001</c:v>
                </c:pt>
                <c:pt idx="52">
                  <c:v>0.13650000000000001</c:v>
                </c:pt>
                <c:pt idx="53">
                  <c:v>0.1353</c:v>
                </c:pt>
                <c:pt idx="54">
                  <c:v>0.13339999999999999</c:v>
                </c:pt>
                <c:pt idx="55">
                  <c:v>0.1318</c:v>
                </c:pt>
                <c:pt idx="56">
                  <c:v>0.13009999999999999</c:v>
                </c:pt>
                <c:pt idx="57">
                  <c:v>0.1288</c:v>
                </c:pt>
                <c:pt idx="58">
                  <c:v>0.12790000000000001</c:v>
                </c:pt>
                <c:pt idx="59">
                  <c:v>0.1273</c:v>
                </c:pt>
                <c:pt idx="60">
                  <c:v>0.12609999999999999</c:v>
                </c:pt>
                <c:pt idx="61">
                  <c:v>0.12540000000000001</c:v>
                </c:pt>
                <c:pt idx="62">
                  <c:v>0.1245</c:v>
                </c:pt>
                <c:pt idx="63">
                  <c:v>0.1239</c:v>
                </c:pt>
                <c:pt idx="64">
                  <c:v>0.1237</c:v>
                </c:pt>
                <c:pt idx="65">
                  <c:v>0.12330000000000001</c:v>
                </c:pt>
                <c:pt idx="66">
                  <c:v>0.1229</c:v>
                </c:pt>
                <c:pt idx="67">
                  <c:v>0.1221</c:v>
                </c:pt>
                <c:pt idx="68">
                  <c:v>0.1216</c:v>
                </c:pt>
                <c:pt idx="69">
                  <c:v>0.1216</c:v>
                </c:pt>
                <c:pt idx="70">
                  <c:v>0.12180000000000001</c:v>
                </c:pt>
                <c:pt idx="71">
                  <c:v>0.12230000000000001</c:v>
                </c:pt>
                <c:pt idx="72">
                  <c:v>0.1216</c:v>
                </c:pt>
                <c:pt idx="73">
                  <c:v>0.1216</c:v>
                </c:pt>
                <c:pt idx="74">
                  <c:v>0.12280000000000001</c:v>
                </c:pt>
                <c:pt idx="75">
                  <c:v>0.1221</c:v>
                </c:pt>
                <c:pt idx="76">
                  <c:v>0.1235</c:v>
                </c:pt>
                <c:pt idx="77">
                  <c:v>0.1231</c:v>
                </c:pt>
                <c:pt idx="78">
                  <c:v>0.1235</c:v>
                </c:pt>
                <c:pt idx="79">
                  <c:v>0.1235</c:v>
                </c:pt>
                <c:pt idx="80">
                  <c:v>0.1235</c:v>
                </c:pt>
                <c:pt idx="81">
                  <c:v>0.126</c:v>
                </c:pt>
                <c:pt idx="82">
                  <c:v>0.1245</c:v>
                </c:pt>
                <c:pt idx="83">
                  <c:v>0.126</c:v>
                </c:pt>
                <c:pt idx="84">
                  <c:v>0.12790000000000001</c:v>
                </c:pt>
                <c:pt idx="85">
                  <c:v>0.127</c:v>
                </c:pt>
                <c:pt idx="86">
                  <c:v>0.1318</c:v>
                </c:pt>
                <c:pt idx="87">
                  <c:v>0.12889999999999999</c:v>
                </c:pt>
                <c:pt idx="88">
                  <c:v>0.12989999999999999</c:v>
                </c:pt>
                <c:pt idx="89">
                  <c:v>0.1318</c:v>
                </c:pt>
                <c:pt idx="90">
                  <c:v>0.1338</c:v>
                </c:pt>
                <c:pt idx="91">
                  <c:v>0.1358</c:v>
                </c:pt>
                <c:pt idx="92">
                  <c:v>0.13869999999999999</c:v>
                </c:pt>
                <c:pt idx="93">
                  <c:v>0.1406</c:v>
                </c:pt>
                <c:pt idx="94">
                  <c:v>0.13869999999999999</c:v>
                </c:pt>
                <c:pt idx="95">
                  <c:v>0.1484</c:v>
                </c:pt>
                <c:pt idx="96">
                  <c:v>0.15920000000000001</c:v>
                </c:pt>
                <c:pt idx="97">
                  <c:v>0.16800000000000001</c:v>
                </c:pt>
                <c:pt idx="98">
                  <c:v>0.1875</c:v>
                </c:pt>
                <c:pt idx="99">
                  <c:v>0.22270000000000001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36-42F2-B2B1-1C96A5267F34}"/>
            </c:ext>
          </c:extLst>
        </c:ser>
        <c:ser>
          <c:idx val="1"/>
          <c:order val="1"/>
          <c:tx>
            <c:v>Put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Skew!$C$105:$C$218</c:f>
              <c:numCache>
                <c:formatCode>General</c:formatCode>
                <c:ptCount val="114"/>
                <c:pt idx="0">
                  <c:v>240</c:v>
                </c:pt>
                <c:pt idx="1">
                  <c:v>250</c:v>
                </c:pt>
                <c:pt idx="2">
                  <c:v>270</c:v>
                </c:pt>
                <c:pt idx="3">
                  <c:v>275</c:v>
                </c:pt>
                <c:pt idx="4">
                  <c:v>280</c:v>
                </c:pt>
                <c:pt idx="5">
                  <c:v>285</c:v>
                </c:pt>
                <c:pt idx="6">
                  <c:v>290</c:v>
                </c:pt>
                <c:pt idx="7">
                  <c:v>295</c:v>
                </c:pt>
                <c:pt idx="8">
                  <c:v>300</c:v>
                </c:pt>
                <c:pt idx="9">
                  <c:v>305</c:v>
                </c:pt>
                <c:pt idx="10">
                  <c:v>310</c:v>
                </c:pt>
                <c:pt idx="11">
                  <c:v>315</c:v>
                </c:pt>
                <c:pt idx="12">
                  <c:v>320</c:v>
                </c:pt>
                <c:pt idx="13">
                  <c:v>325</c:v>
                </c:pt>
                <c:pt idx="14">
                  <c:v>330</c:v>
                </c:pt>
                <c:pt idx="15">
                  <c:v>335</c:v>
                </c:pt>
                <c:pt idx="16">
                  <c:v>340</c:v>
                </c:pt>
                <c:pt idx="17">
                  <c:v>345</c:v>
                </c:pt>
                <c:pt idx="18">
                  <c:v>350</c:v>
                </c:pt>
                <c:pt idx="19">
                  <c:v>355</c:v>
                </c:pt>
                <c:pt idx="20">
                  <c:v>358</c:v>
                </c:pt>
                <c:pt idx="21">
                  <c:v>360</c:v>
                </c:pt>
                <c:pt idx="22">
                  <c:v>362</c:v>
                </c:pt>
                <c:pt idx="23">
                  <c:v>364</c:v>
                </c:pt>
                <c:pt idx="24">
                  <c:v>365</c:v>
                </c:pt>
                <c:pt idx="25">
                  <c:v>366</c:v>
                </c:pt>
                <c:pt idx="26">
                  <c:v>368</c:v>
                </c:pt>
                <c:pt idx="27">
                  <c:v>370</c:v>
                </c:pt>
                <c:pt idx="28">
                  <c:v>372</c:v>
                </c:pt>
                <c:pt idx="29">
                  <c:v>375</c:v>
                </c:pt>
                <c:pt idx="30">
                  <c:v>380</c:v>
                </c:pt>
                <c:pt idx="31">
                  <c:v>385</c:v>
                </c:pt>
                <c:pt idx="32">
                  <c:v>390</c:v>
                </c:pt>
                <c:pt idx="33">
                  <c:v>395</c:v>
                </c:pt>
                <c:pt idx="34">
                  <c:v>398</c:v>
                </c:pt>
                <c:pt idx="35">
                  <c:v>400</c:v>
                </c:pt>
                <c:pt idx="36">
                  <c:v>402</c:v>
                </c:pt>
                <c:pt idx="37">
                  <c:v>403</c:v>
                </c:pt>
                <c:pt idx="38">
                  <c:v>404</c:v>
                </c:pt>
                <c:pt idx="39">
                  <c:v>405</c:v>
                </c:pt>
                <c:pt idx="40">
                  <c:v>406</c:v>
                </c:pt>
                <c:pt idx="41">
                  <c:v>408</c:v>
                </c:pt>
                <c:pt idx="42">
                  <c:v>409</c:v>
                </c:pt>
                <c:pt idx="43">
                  <c:v>410</c:v>
                </c:pt>
                <c:pt idx="44">
                  <c:v>411</c:v>
                </c:pt>
                <c:pt idx="45">
                  <c:v>412</c:v>
                </c:pt>
                <c:pt idx="46">
                  <c:v>413</c:v>
                </c:pt>
                <c:pt idx="47">
                  <c:v>414</c:v>
                </c:pt>
                <c:pt idx="48">
                  <c:v>415</c:v>
                </c:pt>
                <c:pt idx="49">
                  <c:v>416</c:v>
                </c:pt>
                <c:pt idx="50">
                  <c:v>417</c:v>
                </c:pt>
                <c:pt idx="51">
                  <c:v>417.5</c:v>
                </c:pt>
                <c:pt idx="52">
                  <c:v>418</c:v>
                </c:pt>
                <c:pt idx="53">
                  <c:v>419</c:v>
                </c:pt>
                <c:pt idx="54">
                  <c:v>420</c:v>
                </c:pt>
                <c:pt idx="55">
                  <c:v>421</c:v>
                </c:pt>
                <c:pt idx="56">
                  <c:v>422</c:v>
                </c:pt>
                <c:pt idx="57">
                  <c:v>422.5</c:v>
                </c:pt>
                <c:pt idx="58">
                  <c:v>423</c:v>
                </c:pt>
                <c:pt idx="59">
                  <c:v>424</c:v>
                </c:pt>
                <c:pt idx="60">
                  <c:v>425</c:v>
                </c:pt>
                <c:pt idx="61">
                  <c:v>426</c:v>
                </c:pt>
                <c:pt idx="62">
                  <c:v>427</c:v>
                </c:pt>
                <c:pt idx="63">
                  <c:v>427.5</c:v>
                </c:pt>
                <c:pt idx="64">
                  <c:v>428</c:v>
                </c:pt>
                <c:pt idx="65">
                  <c:v>429</c:v>
                </c:pt>
                <c:pt idx="66">
                  <c:v>430</c:v>
                </c:pt>
                <c:pt idx="67">
                  <c:v>431</c:v>
                </c:pt>
                <c:pt idx="68">
                  <c:v>432</c:v>
                </c:pt>
                <c:pt idx="69">
                  <c:v>432.5</c:v>
                </c:pt>
                <c:pt idx="70">
                  <c:v>433</c:v>
                </c:pt>
                <c:pt idx="71">
                  <c:v>434</c:v>
                </c:pt>
                <c:pt idx="72">
                  <c:v>435</c:v>
                </c:pt>
                <c:pt idx="73">
                  <c:v>436</c:v>
                </c:pt>
                <c:pt idx="74">
                  <c:v>437</c:v>
                </c:pt>
                <c:pt idx="75">
                  <c:v>437.5</c:v>
                </c:pt>
                <c:pt idx="76">
                  <c:v>438</c:v>
                </c:pt>
                <c:pt idx="77">
                  <c:v>439</c:v>
                </c:pt>
                <c:pt idx="78">
                  <c:v>440</c:v>
                </c:pt>
                <c:pt idx="79">
                  <c:v>441</c:v>
                </c:pt>
                <c:pt idx="80">
                  <c:v>442</c:v>
                </c:pt>
                <c:pt idx="81">
                  <c:v>442.5</c:v>
                </c:pt>
                <c:pt idx="82">
                  <c:v>443</c:v>
                </c:pt>
                <c:pt idx="83">
                  <c:v>444</c:v>
                </c:pt>
                <c:pt idx="84">
                  <c:v>445</c:v>
                </c:pt>
                <c:pt idx="85">
                  <c:v>446</c:v>
                </c:pt>
                <c:pt idx="86">
                  <c:v>447</c:v>
                </c:pt>
                <c:pt idx="87">
                  <c:v>447.5</c:v>
                </c:pt>
                <c:pt idx="88">
                  <c:v>448</c:v>
                </c:pt>
                <c:pt idx="89">
                  <c:v>449</c:v>
                </c:pt>
                <c:pt idx="90">
                  <c:v>450</c:v>
                </c:pt>
                <c:pt idx="91">
                  <c:v>451</c:v>
                </c:pt>
                <c:pt idx="92">
                  <c:v>452</c:v>
                </c:pt>
                <c:pt idx="93">
                  <c:v>452.5</c:v>
                </c:pt>
                <c:pt idx="94">
                  <c:v>453</c:v>
                </c:pt>
                <c:pt idx="95">
                  <c:v>454</c:v>
                </c:pt>
                <c:pt idx="96">
                  <c:v>455</c:v>
                </c:pt>
                <c:pt idx="97">
                  <c:v>456</c:v>
                </c:pt>
                <c:pt idx="98">
                  <c:v>457</c:v>
                </c:pt>
                <c:pt idx="99">
                  <c:v>457.5</c:v>
                </c:pt>
                <c:pt idx="100">
                  <c:v>458</c:v>
                </c:pt>
                <c:pt idx="101">
                  <c:v>459</c:v>
                </c:pt>
                <c:pt idx="102">
                  <c:v>460</c:v>
                </c:pt>
                <c:pt idx="103">
                  <c:v>462</c:v>
                </c:pt>
                <c:pt idx="104">
                  <c:v>462.5</c:v>
                </c:pt>
                <c:pt idx="105">
                  <c:v>464</c:v>
                </c:pt>
                <c:pt idx="106">
                  <c:v>465</c:v>
                </c:pt>
                <c:pt idx="107">
                  <c:v>466</c:v>
                </c:pt>
                <c:pt idx="108">
                  <c:v>467.5</c:v>
                </c:pt>
                <c:pt idx="109">
                  <c:v>468</c:v>
                </c:pt>
                <c:pt idx="110">
                  <c:v>470</c:v>
                </c:pt>
                <c:pt idx="111">
                  <c:v>480</c:v>
                </c:pt>
                <c:pt idx="112">
                  <c:v>490</c:v>
                </c:pt>
                <c:pt idx="113">
                  <c:v>500</c:v>
                </c:pt>
              </c:numCache>
            </c:numRef>
          </c:xVal>
          <c:yVal>
            <c:numRef>
              <c:f>Skew!$K$105:$K$218</c:f>
              <c:numCache>
                <c:formatCode>0.00%</c:formatCode>
                <c:ptCount val="114"/>
                <c:pt idx="0">
                  <c:v>0.69630000000000003</c:v>
                </c:pt>
                <c:pt idx="1">
                  <c:v>0.66600000000000004</c:v>
                </c:pt>
                <c:pt idx="2">
                  <c:v>0.61040000000000005</c:v>
                </c:pt>
                <c:pt idx="3">
                  <c:v>0.59670000000000001</c:v>
                </c:pt>
                <c:pt idx="4">
                  <c:v>0.58399999999999996</c:v>
                </c:pt>
                <c:pt idx="5">
                  <c:v>0.56889999999999996</c:v>
                </c:pt>
                <c:pt idx="6">
                  <c:v>0.55620000000000003</c:v>
                </c:pt>
                <c:pt idx="7">
                  <c:v>0.54249999999999998</c:v>
                </c:pt>
                <c:pt idx="8">
                  <c:v>0.52829999999999999</c:v>
                </c:pt>
                <c:pt idx="9">
                  <c:v>0.51559999999999995</c:v>
                </c:pt>
                <c:pt idx="10">
                  <c:v>0.50149999999999995</c:v>
                </c:pt>
                <c:pt idx="11">
                  <c:v>0.48880000000000001</c:v>
                </c:pt>
                <c:pt idx="12">
                  <c:v>0.47560000000000002</c:v>
                </c:pt>
                <c:pt idx="13">
                  <c:v>0.46139999999999998</c:v>
                </c:pt>
                <c:pt idx="14">
                  <c:v>0.44679999999999997</c:v>
                </c:pt>
                <c:pt idx="15">
                  <c:v>0.43380000000000002</c:v>
                </c:pt>
                <c:pt idx="16">
                  <c:v>0.4199</c:v>
                </c:pt>
                <c:pt idx="17">
                  <c:v>0.40720000000000001</c:v>
                </c:pt>
                <c:pt idx="18">
                  <c:v>0.39340000000000003</c:v>
                </c:pt>
                <c:pt idx="19">
                  <c:v>0.38179999999999997</c:v>
                </c:pt>
                <c:pt idx="20">
                  <c:v>0.37440000000000001</c:v>
                </c:pt>
                <c:pt idx="21">
                  <c:v>0.36959999999999998</c:v>
                </c:pt>
                <c:pt idx="22">
                  <c:v>0.36520000000000002</c:v>
                </c:pt>
                <c:pt idx="23">
                  <c:v>0.36059999999999998</c:v>
                </c:pt>
                <c:pt idx="24">
                  <c:v>0.3579</c:v>
                </c:pt>
                <c:pt idx="25">
                  <c:v>0.35570000000000002</c:v>
                </c:pt>
                <c:pt idx="26">
                  <c:v>0.35120000000000001</c:v>
                </c:pt>
                <c:pt idx="27">
                  <c:v>0.34689999999999999</c:v>
                </c:pt>
                <c:pt idx="28">
                  <c:v>0.34289999999999998</c:v>
                </c:pt>
                <c:pt idx="29">
                  <c:v>0.3362</c:v>
                </c:pt>
                <c:pt idx="30">
                  <c:v>0.32579999999999998</c:v>
                </c:pt>
                <c:pt idx="31">
                  <c:v>0.31530000000000002</c:v>
                </c:pt>
                <c:pt idx="32">
                  <c:v>0.30499999999999999</c:v>
                </c:pt>
                <c:pt idx="33">
                  <c:v>0.2949</c:v>
                </c:pt>
                <c:pt idx="34">
                  <c:v>0.28839999999999999</c:v>
                </c:pt>
                <c:pt idx="35">
                  <c:v>0.28439999999999999</c:v>
                </c:pt>
                <c:pt idx="36">
                  <c:v>0.2802</c:v>
                </c:pt>
                <c:pt idx="37">
                  <c:v>0.2782</c:v>
                </c:pt>
                <c:pt idx="38">
                  <c:v>0.27600000000000002</c:v>
                </c:pt>
                <c:pt idx="39">
                  <c:v>0.2737</c:v>
                </c:pt>
                <c:pt idx="40">
                  <c:v>0.27160000000000001</c:v>
                </c:pt>
                <c:pt idx="41">
                  <c:v>0.26719999999999999</c:v>
                </c:pt>
                <c:pt idx="42">
                  <c:v>0.2651</c:v>
                </c:pt>
                <c:pt idx="43">
                  <c:v>0.26279999999999998</c:v>
                </c:pt>
                <c:pt idx="44">
                  <c:v>0.26069999999999999</c:v>
                </c:pt>
                <c:pt idx="45">
                  <c:v>0.25819999999999999</c:v>
                </c:pt>
                <c:pt idx="46">
                  <c:v>0.25580000000000003</c:v>
                </c:pt>
                <c:pt idx="47">
                  <c:v>0.2535</c:v>
                </c:pt>
                <c:pt idx="48">
                  <c:v>0.25130000000000002</c:v>
                </c:pt>
                <c:pt idx="49">
                  <c:v>0.249</c:v>
                </c:pt>
                <c:pt idx="50">
                  <c:v>0.24640000000000001</c:v>
                </c:pt>
                <c:pt idx="51">
                  <c:v>0.24510000000000001</c:v>
                </c:pt>
                <c:pt idx="52">
                  <c:v>0.24399999999999999</c:v>
                </c:pt>
                <c:pt idx="53">
                  <c:v>0.24160000000000001</c:v>
                </c:pt>
                <c:pt idx="54">
                  <c:v>0.23899999999999999</c:v>
                </c:pt>
                <c:pt idx="55">
                  <c:v>0.23649999999999999</c:v>
                </c:pt>
                <c:pt idx="56">
                  <c:v>0.23400000000000001</c:v>
                </c:pt>
                <c:pt idx="57">
                  <c:v>0.2326</c:v>
                </c:pt>
                <c:pt idx="58">
                  <c:v>0.23130000000000001</c:v>
                </c:pt>
                <c:pt idx="59">
                  <c:v>0.2286</c:v>
                </c:pt>
                <c:pt idx="60">
                  <c:v>0.22600000000000001</c:v>
                </c:pt>
                <c:pt idx="61">
                  <c:v>0.2233</c:v>
                </c:pt>
                <c:pt idx="62">
                  <c:v>0.2205</c:v>
                </c:pt>
                <c:pt idx="63">
                  <c:v>0.21909999999999999</c:v>
                </c:pt>
                <c:pt idx="64">
                  <c:v>0.21779999999999999</c:v>
                </c:pt>
                <c:pt idx="65">
                  <c:v>0.215</c:v>
                </c:pt>
                <c:pt idx="66">
                  <c:v>0.21210000000000001</c:v>
                </c:pt>
                <c:pt idx="67">
                  <c:v>0.2092</c:v>
                </c:pt>
                <c:pt idx="68">
                  <c:v>0.2064</c:v>
                </c:pt>
                <c:pt idx="69">
                  <c:v>0.2049</c:v>
                </c:pt>
                <c:pt idx="70">
                  <c:v>0.2034</c:v>
                </c:pt>
                <c:pt idx="71">
                  <c:v>0.20050000000000001</c:v>
                </c:pt>
                <c:pt idx="72">
                  <c:v>0.1976</c:v>
                </c:pt>
                <c:pt idx="73">
                  <c:v>0.19450000000000001</c:v>
                </c:pt>
                <c:pt idx="74">
                  <c:v>0.19159999999999999</c:v>
                </c:pt>
                <c:pt idx="75">
                  <c:v>0.1908</c:v>
                </c:pt>
                <c:pt idx="76">
                  <c:v>0.18940000000000001</c:v>
                </c:pt>
                <c:pt idx="77">
                  <c:v>0.18640000000000001</c:v>
                </c:pt>
                <c:pt idx="78">
                  <c:v>0.1837</c:v>
                </c:pt>
                <c:pt idx="79">
                  <c:v>0.18079999999999999</c:v>
                </c:pt>
                <c:pt idx="80">
                  <c:v>0.17799999999999999</c:v>
                </c:pt>
                <c:pt idx="81">
                  <c:v>0.17749999999999999</c:v>
                </c:pt>
                <c:pt idx="82">
                  <c:v>0.17630000000000001</c:v>
                </c:pt>
                <c:pt idx="83">
                  <c:v>0.17369999999999999</c:v>
                </c:pt>
                <c:pt idx="84">
                  <c:v>0.1711</c:v>
                </c:pt>
                <c:pt idx="85">
                  <c:v>0.16950000000000001</c:v>
                </c:pt>
                <c:pt idx="86">
                  <c:v>0.16739999999999999</c:v>
                </c:pt>
                <c:pt idx="87">
                  <c:v>0.1663</c:v>
                </c:pt>
                <c:pt idx="88">
                  <c:v>0.1653</c:v>
                </c:pt>
                <c:pt idx="89">
                  <c:v>0.16350000000000001</c:v>
                </c:pt>
                <c:pt idx="90">
                  <c:v>0.16189999999999999</c:v>
                </c:pt>
                <c:pt idx="91">
                  <c:v>0.1603</c:v>
                </c:pt>
                <c:pt idx="92">
                  <c:v>0.15909999999999999</c:v>
                </c:pt>
                <c:pt idx="93">
                  <c:v>0.15859999999999999</c:v>
                </c:pt>
                <c:pt idx="94">
                  <c:v>0.1583</c:v>
                </c:pt>
                <c:pt idx="95">
                  <c:v>0.15759999999999999</c:v>
                </c:pt>
                <c:pt idx="96">
                  <c:v>0.15709999999999999</c:v>
                </c:pt>
                <c:pt idx="97">
                  <c:v>0.15679999999999999</c:v>
                </c:pt>
                <c:pt idx="98">
                  <c:v>0.15709999999999999</c:v>
                </c:pt>
                <c:pt idx="99">
                  <c:v>0.15709999999999999</c:v>
                </c:pt>
                <c:pt idx="100">
                  <c:v>0.15740000000000001</c:v>
                </c:pt>
                <c:pt idx="101">
                  <c:v>0.1583</c:v>
                </c:pt>
                <c:pt idx="102">
                  <c:v>0.16209999999999999</c:v>
                </c:pt>
                <c:pt idx="103">
                  <c:v>0.16539999999999999</c:v>
                </c:pt>
                <c:pt idx="104">
                  <c:v>0.1663</c:v>
                </c:pt>
                <c:pt idx="105">
                  <c:v>0.17069999999999999</c:v>
                </c:pt>
                <c:pt idx="106">
                  <c:v>0.17299999999999999</c:v>
                </c:pt>
                <c:pt idx="107">
                  <c:v>0.1757</c:v>
                </c:pt>
                <c:pt idx="108">
                  <c:v>0.17960000000000001</c:v>
                </c:pt>
                <c:pt idx="109">
                  <c:v>0.18229999999999999</c:v>
                </c:pt>
                <c:pt idx="110">
                  <c:v>0.18840000000000001</c:v>
                </c:pt>
                <c:pt idx="111">
                  <c:v>0.23069999999999999</c:v>
                </c:pt>
                <c:pt idx="112">
                  <c:v>0.2646</c:v>
                </c:pt>
                <c:pt idx="113">
                  <c:v>0.29680000000000001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36-42F2-B2B1-1C96A5267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267935"/>
        <c:axId val="1373255711"/>
      </c:scatterChart>
      <c:valAx>
        <c:axId val="1569267935"/>
        <c:scaling>
          <c:orientation val="minMax"/>
          <c:max val="540"/>
          <c:min val="3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255711"/>
        <c:crosses val="autoZero"/>
        <c:crossBetween val="midCat"/>
        <c:majorUnit val="20"/>
      </c:valAx>
      <c:valAx>
        <c:axId val="1373255711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267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Volatility Term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K317 Call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#REF!$C$3:$C$22</c:f>
            </c:numRef>
          </c:xVal>
          <c:yVal>
            <c:numRef>
              <c:f>#REF!$K$3:$K$22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60-44C8-9C2E-58D7338C991F}"/>
            </c:ext>
          </c:extLst>
        </c:ser>
        <c:ser>
          <c:idx val="1"/>
          <c:order val="1"/>
          <c:tx>
            <c:v>K321 Call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60-44C8-9C2E-58D7338C991F}"/>
            </c:ext>
          </c:extLst>
        </c:ser>
        <c:ser>
          <c:idx val="2"/>
          <c:order val="2"/>
          <c:tx>
            <c:v>K324 Call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60-44C8-9C2E-58D7338C991F}"/>
            </c:ext>
          </c:extLst>
        </c:ser>
        <c:ser>
          <c:idx val="3"/>
          <c:order val="3"/>
          <c:tx>
            <c:v>K327 Call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#REF!$C$4:$C$26</c:f>
            </c:numRef>
          </c:xVal>
          <c:yVal>
            <c:numRef>
              <c:f>#REF!$K$4:$K$26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160-44C8-9C2E-58D7338C991F}"/>
            </c:ext>
          </c:extLst>
        </c:ser>
        <c:ser>
          <c:idx val="4"/>
          <c:order val="4"/>
          <c:tx>
            <c:v>K330 Call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160-44C8-9C2E-58D7338C991F}"/>
            </c:ext>
          </c:extLst>
        </c:ser>
        <c:ser>
          <c:idx val="5"/>
          <c:order val="5"/>
          <c:tx>
            <c:v>K334 Call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160-44C8-9C2E-58D7338C991F}"/>
            </c:ext>
          </c:extLst>
        </c:ser>
        <c:ser>
          <c:idx val="6"/>
          <c:order val="6"/>
          <c:tx>
            <c:v>K334 Call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160-44C8-9C2E-58D7338C991F}"/>
            </c:ext>
          </c:extLst>
        </c:ser>
        <c:ser>
          <c:idx val="7"/>
          <c:order val="7"/>
          <c:tx>
            <c:v>K337 Call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160-44C8-9C2E-58D7338C9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065119"/>
        <c:axId val="1373241983"/>
      </c:scatterChart>
      <c:valAx>
        <c:axId val="933065119"/>
        <c:scaling>
          <c:orientation val="minMax"/>
          <c:max val="4456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241983"/>
        <c:crosses val="autoZero"/>
        <c:crossBetween val="midCat"/>
      </c:valAx>
      <c:valAx>
        <c:axId val="1373241983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065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K327 Put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01-4FEE-B109-B84C0B109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065119"/>
        <c:axId val="1373241983"/>
      </c:scatterChart>
      <c:valAx>
        <c:axId val="93306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241983"/>
        <c:crosses val="autoZero"/>
        <c:crossBetween val="midCat"/>
      </c:valAx>
      <c:valAx>
        <c:axId val="1373241983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06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Volatility Term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K426 Call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'K426'!$C$5:$C$26</c:f>
              <c:numCache>
                <c:formatCode>mmm\ dd\,\ yyyy</c:formatCode>
                <c:ptCount val="22"/>
                <c:pt idx="0">
                  <c:v>44463</c:v>
                </c:pt>
                <c:pt idx="1">
                  <c:v>44466</c:v>
                </c:pt>
                <c:pt idx="2">
                  <c:v>44468</c:v>
                </c:pt>
                <c:pt idx="3">
                  <c:v>44469</c:v>
                </c:pt>
                <c:pt idx="4">
                  <c:v>44470</c:v>
                </c:pt>
                <c:pt idx="5">
                  <c:v>44473</c:v>
                </c:pt>
                <c:pt idx="6">
                  <c:v>44477</c:v>
                </c:pt>
                <c:pt idx="7">
                  <c:v>44480</c:v>
                </c:pt>
                <c:pt idx="8">
                  <c:v>44482</c:v>
                </c:pt>
                <c:pt idx="9">
                  <c:v>44484</c:v>
                </c:pt>
                <c:pt idx="10">
                  <c:v>44487</c:v>
                </c:pt>
                <c:pt idx="11">
                  <c:v>44491</c:v>
                </c:pt>
                <c:pt idx="12">
                  <c:v>44498</c:v>
                </c:pt>
                <c:pt idx="13">
                  <c:v>44519</c:v>
                </c:pt>
                <c:pt idx="14">
                  <c:v>44547</c:v>
                </c:pt>
                <c:pt idx="15">
                  <c:v>44561</c:v>
                </c:pt>
                <c:pt idx="16">
                  <c:v>44582</c:v>
                </c:pt>
                <c:pt idx="17">
                  <c:v>44610</c:v>
                </c:pt>
                <c:pt idx="18">
                  <c:v>44638</c:v>
                </c:pt>
                <c:pt idx="19">
                  <c:v>44651</c:v>
                </c:pt>
                <c:pt idx="20">
                  <c:v>44729</c:v>
                </c:pt>
                <c:pt idx="21">
                  <c:v>44742</c:v>
                </c:pt>
              </c:numCache>
            </c:numRef>
          </c:xVal>
          <c:yVal>
            <c:numRef>
              <c:f>'K426'!$K$5:$K$26</c:f>
              <c:numCache>
                <c:formatCode>0.00%</c:formatCode>
                <c:ptCount val="22"/>
                <c:pt idx="0">
                  <c:v>0.2306</c:v>
                </c:pt>
                <c:pt idx="1">
                  <c:v>0.2072</c:v>
                </c:pt>
                <c:pt idx="2">
                  <c:v>0.2228</c:v>
                </c:pt>
                <c:pt idx="3">
                  <c:v>0.22789999999999999</c:v>
                </c:pt>
                <c:pt idx="4">
                  <c:v>0.2316</c:v>
                </c:pt>
                <c:pt idx="5">
                  <c:v>0.21740000000000001</c:v>
                </c:pt>
                <c:pt idx="6">
                  <c:v>0.22289999999999999</c:v>
                </c:pt>
                <c:pt idx="7">
                  <c:v>0.21429999999999999</c:v>
                </c:pt>
                <c:pt idx="8">
                  <c:v>0.2142</c:v>
                </c:pt>
                <c:pt idx="9">
                  <c:v>0.21560000000000001</c:v>
                </c:pt>
                <c:pt idx="10">
                  <c:v>0.21160000000000001</c:v>
                </c:pt>
                <c:pt idx="11">
                  <c:v>0.2132</c:v>
                </c:pt>
                <c:pt idx="12">
                  <c:v>0.21260000000000001</c:v>
                </c:pt>
                <c:pt idx="13">
                  <c:v>0.20899999999999999</c:v>
                </c:pt>
                <c:pt idx="14">
                  <c:v>0.20369999999999999</c:v>
                </c:pt>
                <c:pt idx="15">
                  <c:v>0.2009</c:v>
                </c:pt>
                <c:pt idx="16">
                  <c:v>0.20050000000000001</c:v>
                </c:pt>
                <c:pt idx="17">
                  <c:v>0.20399999999999999</c:v>
                </c:pt>
                <c:pt idx="18">
                  <c:v>0.20469999999999999</c:v>
                </c:pt>
                <c:pt idx="19">
                  <c:v>0.2046</c:v>
                </c:pt>
                <c:pt idx="20">
                  <c:v>0.20530000000000001</c:v>
                </c:pt>
                <c:pt idx="21">
                  <c:v>0.23730000000000001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65-492D-A30E-91C2DDF9BC44}"/>
            </c:ext>
          </c:extLst>
        </c:ser>
        <c:ser>
          <c:idx val="1"/>
          <c:order val="1"/>
          <c:tx>
            <c:v>K430 Call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'K430'!$C$5:$C$36</c:f>
              <c:numCache>
                <c:formatCode>mmm\ dd\,\ yyyy</c:formatCode>
                <c:ptCount val="32"/>
                <c:pt idx="0">
                  <c:v>44463</c:v>
                </c:pt>
                <c:pt idx="1">
                  <c:v>44466</c:v>
                </c:pt>
                <c:pt idx="2">
                  <c:v>44468</c:v>
                </c:pt>
                <c:pt idx="3">
                  <c:v>44469</c:v>
                </c:pt>
                <c:pt idx="4">
                  <c:v>44470</c:v>
                </c:pt>
                <c:pt idx="5">
                  <c:v>44473</c:v>
                </c:pt>
                <c:pt idx="6">
                  <c:v>44475</c:v>
                </c:pt>
                <c:pt idx="7">
                  <c:v>44477</c:v>
                </c:pt>
                <c:pt idx="8">
                  <c:v>44480</c:v>
                </c:pt>
                <c:pt idx="9">
                  <c:v>44482</c:v>
                </c:pt>
                <c:pt idx="10">
                  <c:v>44484</c:v>
                </c:pt>
                <c:pt idx="11">
                  <c:v>44487</c:v>
                </c:pt>
                <c:pt idx="12">
                  <c:v>44489</c:v>
                </c:pt>
                <c:pt idx="13">
                  <c:v>44491</c:v>
                </c:pt>
                <c:pt idx="14">
                  <c:v>44494</c:v>
                </c:pt>
                <c:pt idx="15">
                  <c:v>44498</c:v>
                </c:pt>
                <c:pt idx="16">
                  <c:v>44519</c:v>
                </c:pt>
                <c:pt idx="17">
                  <c:v>44547</c:v>
                </c:pt>
                <c:pt idx="18">
                  <c:v>44561</c:v>
                </c:pt>
                <c:pt idx="19">
                  <c:v>44582</c:v>
                </c:pt>
                <c:pt idx="20">
                  <c:v>44610</c:v>
                </c:pt>
                <c:pt idx="21">
                  <c:v>44638</c:v>
                </c:pt>
                <c:pt idx="22">
                  <c:v>44651</c:v>
                </c:pt>
                <c:pt idx="23">
                  <c:v>44729</c:v>
                </c:pt>
                <c:pt idx="24">
                  <c:v>44742</c:v>
                </c:pt>
                <c:pt idx="25">
                  <c:v>44820</c:v>
                </c:pt>
                <c:pt idx="26" formatCode="m/d/yyyy">
                  <c:v>44911</c:v>
                </c:pt>
                <c:pt idx="27" formatCode="m/d/yyyy">
                  <c:v>44946</c:v>
                </c:pt>
                <c:pt idx="28" formatCode="m/d/yyyy">
                  <c:v>45002</c:v>
                </c:pt>
                <c:pt idx="29" formatCode="m/d/yyyy">
                  <c:v>45093</c:v>
                </c:pt>
                <c:pt idx="30" formatCode="m/d/yyyy">
                  <c:v>45275</c:v>
                </c:pt>
                <c:pt idx="31" formatCode="m/d/yyyy">
                  <c:v>45310</c:v>
                </c:pt>
              </c:numCache>
            </c:numRef>
          </c:xVal>
          <c:yVal>
            <c:numRef>
              <c:f>'K430'!$K$5:$K$36</c:f>
              <c:numCache>
                <c:formatCode>0.00%</c:formatCode>
                <c:ptCount val="32"/>
                <c:pt idx="0">
                  <c:v>0.2296</c:v>
                </c:pt>
                <c:pt idx="1">
                  <c:v>0.1973</c:v>
                </c:pt>
                <c:pt idx="2">
                  <c:v>0.20610000000000001</c:v>
                </c:pt>
                <c:pt idx="3">
                  <c:v>0.21160000000000001</c:v>
                </c:pt>
                <c:pt idx="4">
                  <c:v>0.21479999999999999</c:v>
                </c:pt>
                <c:pt idx="5">
                  <c:v>0.20100000000000001</c:v>
                </c:pt>
                <c:pt idx="6">
                  <c:v>0.20530000000000001</c:v>
                </c:pt>
                <c:pt idx="7">
                  <c:v>0.2082</c:v>
                </c:pt>
                <c:pt idx="8">
                  <c:v>0.19950000000000001</c:v>
                </c:pt>
                <c:pt idx="9">
                  <c:v>0.20169999999999999</c:v>
                </c:pt>
                <c:pt idx="10">
                  <c:v>0.20330000000000001</c:v>
                </c:pt>
                <c:pt idx="11">
                  <c:v>0.19939999999999999</c:v>
                </c:pt>
                <c:pt idx="12">
                  <c:v>0.2011</c:v>
                </c:pt>
                <c:pt idx="13">
                  <c:v>0.2016</c:v>
                </c:pt>
                <c:pt idx="14">
                  <c:v>0.1981</c:v>
                </c:pt>
                <c:pt idx="15">
                  <c:v>0.20150000000000001</c:v>
                </c:pt>
                <c:pt idx="16">
                  <c:v>0.2</c:v>
                </c:pt>
                <c:pt idx="17">
                  <c:v>0.19589999999999999</c:v>
                </c:pt>
                <c:pt idx="18">
                  <c:v>0.19359999999999999</c:v>
                </c:pt>
                <c:pt idx="19">
                  <c:v>0.19409999999999999</c:v>
                </c:pt>
                <c:pt idx="20">
                  <c:v>0.1983</c:v>
                </c:pt>
                <c:pt idx="21">
                  <c:v>0.19939999999999999</c:v>
                </c:pt>
                <c:pt idx="22">
                  <c:v>0.1993</c:v>
                </c:pt>
                <c:pt idx="23">
                  <c:v>0.20100000000000001</c:v>
                </c:pt>
                <c:pt idx="24">
                  <c:v>0.20250000000000001</c:v>
                </c:pt>
                <c:pt idx="25">
                  <c:v>0.2021</c:v>
                </c:pt>
                <c:pt idx="26">
                  <c:v>0.2014</c:v>
                </c:pt>
                <c:pt idx="27">
                  <c:v>0.2049</c:v>
                </c:pt>
                <c:pt idx="28">
                  <c:v>0.2084</c:v>
                </c:pt>
                <c:pt idx="29">
                  <c:v>0.20619999999999999</c:v>
                </c:pt>
                <c:pt idx="30">
                  <c:v>0.2072</c:v>
                </c:pt>
                <c:pt idx="31">
                  <c:v>0.20480000000000001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65-492D-A30E-91C2DDF9BC44}"/>
            </c:ext>
          </c:extLst>
        </c:ser>
        <c:ser>
          <c:idx val="2"/>
          <c:order val="2"/>
          <c:tx>
            <c:v>K434 Call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'K434'!$C$5:$C$29</c:f>
              <c:numCache>
                <c:formatCode>mmm\ dd\,\ yyyy</c:formatCode>
                <c:ptCount val="25"/>
                <c:pt idx="0">
                  <c:v>44463</c:v>
                </c:pt>
                <c:pt idx="1">
                  <c:v>44466</c:v>
                </c:pt>
                <c:pt idx="2">
                  <c:v>44468</c:v>
                </c:pt>
                <c:pt idx="3">
                  <c:v>44469</c:v>
                </c:pt>
                <c:pt idx="4">
                  <c:v>44470</c:v>
                </c:pt>
                <c:pt idx="5">
                  <c:v>44473</c:v>
                </c:pt>
                <c:pt idx="6">
                  <c:v>44475</c:v>
                </c:pt>
                <c:pt idx="7">
                  <c:v>44477</c:v>
                </c:pt>
                <c:pt idx="8">
                  <c:v>44480</c:v>
                </c:pt>
                <c:pt idx="9">
                  <c:v>44482</c:v>
                </c:pt>
                <c:pt idx="10">
                  <c:v>44484</c:v>
                </c:pt>
                <c:pt idx="11">
                  <c:v>44487</c:v>
                </c:pt>
                <c:pt idx="12">
                  <c:v>44489</c:v>
                </c:pt>
                <c:pt idx="13">
                  <c:v>44491</c:v>
                </c:pt>
                <c:pt idx="14">
                  <c:v>44498</c:v>
                </c:pt>
                <c:pt idx="15">
                  <c:v>44519</c:v>
                </c:pt>
                <c:pt idx="16">
                  <c:v>44547</c:v>
                </c:pt>
                <c:pt idx="17">
                  <c:v>44561</c:v>
                </c:pt>
                <c:pt idx="18">
                  <c:v>44582</c:v>
                </c:pt>
                <c:pt idx="19">
                  <c:v>44610</c:v>
                </c:pt>
                <c:pt idx="20">
                  <c:v>44638</c:v>
                </c:pt>
                <c:pt idx="21">
                  <c:v>44651</c:v>
                </c:pt>
                <c:pt idx="22">
                  <c:v>44729</c:v>
                </c:pt>
                <c:pt idx="23">
                  <c:v>44742</c:v>
                </c:pt>
                <c:pt idx="24">
                  <c:v>44820</c:v>
                </c:pt>
              </c:numCache>
            </c:numRef>
          </c:xVal>
          <c:yVal>
            <c:numRef>
              <c:f>'K434'!$K$5:$K$29</c:f>
              <c:numCache>
                <c:formatCode>0.00%</c:formatCode>
                <c:ptCount val="25"/>
                <c:pt idx="0">
                  <c:v>0.2142</c:v>
                </c:pt>
                <c:pt idx="1">
                  <c:v>0.18129999999999999</c:v>
                </c:pt>
                <c:pt idx="2">
                  <c:v>0.189</c:v>
                </c:pt>
                <c:pt idx="3">
                  <c:v>0.19400000000000001</c:v>
                </c:pt>
                <c:pt idx="4">
                  <c:v>0.19800000000000001</c:v>
                </c:pt>
                <c:pt idx="5">
                  <c:v>0.18590000000000001</c:v>
                </c:pt>
                <c:pt idx="6">
                  <c:v>0.18990000000000001</c:v>
                </c:pt>
                <c:pt idx="7">
                  <c:v>0.19309999999999999</c:v>
                </c:pt>
                <c:pt idx="8">
                  <c:v>0.1857</c:v>
                </c:pt>
                <c:pt idx="9">
                  <c:v>0.18790000000000001</c:v>
                </c:pt>
                <c:pt idx="10">
                  <c:v>0.18959999999999999</c:v>
                </c:pt>
                <c:pt idx="11">
                  <c:v>0.18490000000000001</c:v>
                </c:pt>
                <c:pt idx="12">
                  <c:v>0.18679999999999999</c:v>
                </c:pt>
                <c:pt idx="13">
                  <c:v>0.18840000000000001</c:v>
                </c:pt>
                <c:pt idx="14">
                  <c:v>0.1888</c:v>
                </c:pt>
                <c:pt idx="15">
                  <c:v>0.19</c:v>
                </c:pt>
                <c:pt idx="16">
                  <c:v>0.18809999999999999</c:v>
                </c:pt>
                <c:pt idx="17">
                  <c:v>0.1862</c:v>
                </c:pt>
                <c:pt idx="18">
                  <c:v>0.18770000000000001</c:v>
                </c:pt>
                <c:pt idx="19">
                  <c:v>0.1925</c:v>
                </c:pt>
                <c:pt idx="20">
                  <c:v>0.19400000000000001</c:v>
                </c:pt>
                <c:pt idx="21">
                  <c:v>0.19400000000000001</c:v>
                </c:pt>
                <c:pt idx="22">
                  <c:v>0.19650000000000001</c:v>
                </c:pt>
                <c:pt idx="23">
                  <c:v>0.1981</c:v>
                </c:pt>
                <c:pt idx="24">
                  <c:v>0.1983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65-492D-A30E-91C2DDF9BC44}"/>
            </c:ext>
          </c:extLst>
        </c:ser>
        <c:ser>
          <c:idx val="3"/>
          <c:order val="3"/>
          <c:tx>
            <c:v>K438 Call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'K438'!$C$5:$C$28</c:f>
              <c:numCache>
                <c:formatCode>mmm\ dd\,\ yyyy</c:formatCode>
                <c:ptCount val="24"/>
                <c:pt idx="0">
                  <c:v>44463</c:v>
                </c:pt>
                <c:pt idx="1">
                  <c:v>44466</c:v>
                </c:pt>
                <c:pt idx="2">
                  <c:v>44468</c:v>
                </c:pt>
                <c:pt idx="3">
                  <c:v>44469</c:v>
                </c:pt>
                <c:pt idx="4">
                  <c:v>44470</c:v>
                </c:pt>
                <c:pt idx="5">
                  <c:v>44473</c:v>
                </c:pt>
                <c:pt idx="6">
                  <c:v>44475</c:v>
                </c:pt>
                <c:pt idx="7">
                  <c:v>44477</c:v>
                </c:pt>
                <c:pt idx="8">
                  <c:v>44480</c:v>
                </c:pt>
                <c:pt idx="9">
                  <c:v>44482</c:v>
                </c:pt>
                <c:pt idx="10">
                  <c:v>44484</c:v>
                </c:pt>
                <c:pt idx="11">
                  <c:v>44487</c:v>
                </c:pt>
                <c:pt idx="12">
                  <c:v>44491</c:v>
                </c:pt>
                <c:pt idx="13">
                  <c:v>44498</c:v>
                </c:pt>
                <c:pt idx="14">
                  <c:v>44519</c:v>
                </c:pt>
                <c:pt idx="15">
                  <c:v>44547</c:v>
                </c:pt>
                <c:pt idx="16">
                  <c:v>44561</c:v>
                </c:pt>
                <c:pt idx="17">
                  <c:v>44582</c:v>
                </c:pt>
                <c:pt idx="18">
                  <c:v>44610</c:v>
                </c:pt>
                <c:pt idx="19">
                  <c:v>44638</c:v>
                </c:pt>
                <c:pt idx="20">
                  <c:v>44651</c:v>
                </c:pt>
                <c:pt idx="21">
                  <c:v>44729</c:v>
                </c:pt>
                <c:pt idx="22">
                  <c:v>44742</c:v>
                </c:pt>
                <c:pt idx="23">
                  <c:v>44820</c:v>
                </c:pt>
              </c:numCache>
            </c:numRef>
          </c:xVal>
          <c:yVal>
            <c:numRef>
              <c:f>'K438'!$K$5:$K$28</c:f>
              <c:numCache>
                <c:formatCode>0.00%</c:formatCode>
                <c:ptCount val="24"/>
                <c:pt idx="0">
                  <c:v>0.20019999999999999</c:v>
                </c:pt>
                <c:pt idx="1">
                  <c:v>0.16550000000000001</c:v>
                </c:pt>
                <c:pt idx="2">
                  <c:v>0.17150000000000001</c:v>
                </c:pt>
                <c:pt idx="3">
                  <c:v>0.17549999999999999</c:v>
                </c:pt>
                <c:pt idx="4">
                  <c:v>0.1802</c:v>
                </c:pt>
                <c:pt idx="5">
                  <c:v>0.1696</c:v>
                </c:pt>
                <c:pt idx="6">
                  <c:v>0.1739</c:v>
                </c:pt>
                <c:pt idx="7">
                  <c:v>0.1774</c:v>
                </c:pt>
                <c:pt idx="8">
                  <c:v>0.17069999999999999</c:v>
                </c:pt>
                <c:pt idx="9">
                  <c:v>0.1731</c:v>
                </c:pt>
                <c:pt idx="10">
                  <c:v>0.17499999999999999</c:v>
                </c:pt>
                <c:pt idx="11">
                  <c:v>0.17119999999999999</c:v>
                </c:pt>
                <c:pt idx="12">
                  <c:v>0.17510000000000001</c:v>
                </c:pt>
                <c:pt idx="13">
                  <c:v>0.1767</c:v>
                </c:pt>
                <c:pt idx="14">
                  <c:v>0.18029999999999999</c:v>
                </c:pt>
                <c:pt idx="15">
                  <c:v>0.18</c:v>
                </c:pt>
                <c:pt idx="16">
                  <c:v>0.1787</c:v>
                </c:pt>
                <c:pt idx="17">
                  <c:v>0.1812</c:v>
                </c:pt>
                <c:pt idx="18">
                  <c:v>0.1867</c:v>
                </c:pt>
                <c:pt idx="19">
                  <c:v>0.18859999999999999</c:v>
                </c:pt>
                <c:pt idx="20">
                  <c:v>0.18870000000000001</c:v>
                </c:pt>
                <c:pt idx="21">
                  <c:v>0.19189999999999999</c:v>
                </c:pt>
                <c:pt idx="22">
                  <c:v>0.19370000000000001</c:v>
                </c:pt>
                <c:pt idx="23">
                  <c:v>0.19450000000000001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65-492D-A30E-91C2DDF9BC44}"/>
            </c:ext>
          </c:extLst>
        </c:ser>
        <c:ser>
          <c:idx val="4"/>
          <c:order val="4"/>
          <c:tx>
            <c:v>K442 Call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'K442'!$C$5:$C$29</c:f>
              <c:numCache>
                <c:formatCode>mmm\ dd\,\ yyyy</c:formatCode>
                <c:ptCount val="25"/>
                <c:pt idx="0">
                  <c:v>44463</c:v>
                </c:pt>
                <c:pt idx="1">
                  <c:v>44466</c:v>
                </c:pt>
                <c:pt idx="2">
                  <c:v>44468</c:v>
                </c:pt>
                <c:pt idx="3">
                  <c:v>44469</c:v>
                </c:pt>
                <c:pt idx="4">
                  <c:v>44470</c:v>
                </c:pt>
                <c:pt idx="5">
                  <c:v>44473</c:v>
                </c:pt>
                <c:pt idx="6">
                  <c:v>44475</c:v>
                </c:pt>
                <c:pt idx="7">
                  <c:v>44477</c:v>
                </c:pt>
                <c:pt idx="8">
                  <c:v>44480</c:v>
                </c:pt>
                <c:pt idx="9">
                  <c:v>44482</c:v>
                </c:pt>
                <c:pt idx="10">
                  <c:v>44484</c:v>
                </c:pt>
                <c:pt idx="11">
                  <c:v>44487</c:v>
                </c:pt>
                <c:pt idx="12">
                  <c:v>44489</c:v>
                </c:pt>
                <c:pt idx="13">
                  <c:v>44491</c:v>
                </c:pt>
                <c:pt idx="14">
                  <c:v>44498</c:v>
                </c:pt>
                <c:pt idx="15">
                  <c:v>44519</c:v>
                </c:pt>
                <c:pt idx="16">
                  <c:v>44547</c:v>
                </c:pt>
                <c:pt idx="17">
                  <c:v>44561</c:v>
                </c:pt>
                <c:pt idx="18">
                  <c:v>44582</c:v>
                </c:pt>
                <c:pt idx="19">
                  <c:v>44610</c:v>
                </c:pt>
                <c:pt idx="20">
                  <c:v>44638</c:v>
                </c:pt>
                <c:pt idx="21">
                  <c:v>44651</c:v>
                </c:pt>
                <c:pt idx="22">
                  <c:v>44729</c:v>
                </c:pt>
                <c:pt idx="23">
                  <c:v>44742</c:v>
                </c:pt>
                <c:pt idx="24">
                  <c:v>44820</c:v>
                </c:pt>
              </c:numCache>
            </c:numRef>
          </c:xVal>
          <c:yVal>
            <c:numRef>
              <c:f>'K442'!$K$5:$K$29</c:f>
              <c:numCache>
                <c:formatCode>0.00%</c:formatCode>
                <c:ptCount val="25"/>
                <c:pt idx="0">
                  <c:v>0.18920000000000001</c:v>
                </c:pt>
                <c:pt idx="1">
                  <c:v>0.153</c:v>
                </c:pt>
                <c:pt idx="2">
                  <c:v>0.15609999999999999</c:v>
                </c:pt>
                <c:pt idx="3">
                  <c:v>0.15920000000000001</c:v>
                </c:pt>
                <c:pt idx="4">
                  <c:v>0.1633</c:v>
                </c:pt>
                <c:pt idx="5">
                  <c:v>0.15390000000000001</c:v>
                </c:pt>
                <c:pt idx="6">
                  <c:v>0.15809999999999999</c:v>
                </c:pt>
                <c:pt idx="7">
                  <c:v>0.16189999999999999</c:v>
                </c:pt>
                <c:pt idx="8">
                  <c:v>0.15609999999999999</c:v>
                </c:pt>
                <c:pt idx="9">
                  <c:v>0.15859999999999999</c:v>
                </c:pt>
                <c:pt idx="10">
                  <c:v>0.16059999999999999</c:v>
                </c:pt>
                <c:pt idx="11">
                  <c:v>0.1575</c:v>
                </c:pt>
                <c:pt idx="12">
                  <c:v>0.1598</c:v>
                </c:pt>
                <c:pt idx="13">
                  <c:v>0.1618</c:v>
                </c:pt>
                <c:pt idx="14">
                  <c:v>0.16450000000000001</c:v>
                </c:pt>
                <c:pt idx="15">
                  <c:v>0.1706</c:v>
                </c:pt>
                <c:pt idx="16">
                  <c:v>0.1719</c:v>
                </c:pt>
                <c:pt idx="17">
                  <c:v>0.17119999999999999</c:v>
                </c:pt>
                <c:pt idx="18">
                  <c:v>0.17460000000000001</c:v>
                </c:pt>
                <c:pt idx="19">
                  <c:v>0.18090000000000001</c:v>
                </c:pt>
                <c:pt idx="20">
                  <c:v>0.1832</c:v>
                </c:pt>
                <c:pt idx="21">
                  <c:v>0.18340000000000001</c:v>
                </c:pt>
                <c:pt idx="22">
                  <c:v>0.18740000000000001</c:v>
                </c:pt>
                <c:pt idx="23">
                  <c:v>0.1893</c:v>
                </c:pt>
                <c:pt idx="24">
                  <c:v>0.19059999999999999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365-492D-A30E-91C2DDF9B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065119"/>
        <c:axId val="1373241983"/>
      </c:scatterChart>
      <c:valAx>
        <c:axId val="933065119"/>
        <c:scaling>
          <c:orientation val="minMax"/>
          <c:max val="44701"/>
          <c:min val="4446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241983"/>
        <c:crosses val="autoZero"/>
        <c:crossBetween val="midCat"/>
      </c:valAx>
      <c:valAx>
        <c:axId val="1373241983"/>
        <c:scaling>
          <c:orientation val="minMax"/>
          <c:min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065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K434 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K434 Put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'K434'!$C$33:$C$56</c:f>
              <c:numCache>
                <c:formatCode>mmm\ dd\,\ yyyy</c:formatCode>
                <c:ptCount val="24"/>
                <c:pt idx="0">
                  <c:v>44463</c:v>
                </c:pt>
                <c:pt idx="1">
                  <c:v>44466</c:v>
                </c:pt>
                <c:pt idx="2">
                  <c:v>44468</c:v>
                </c:pt>
                <c:pt idx="3">
                  <c:v>44469</c:v>
                </c:pt>
                <c:pt idx="4">
                  <c:v>44470</c:v>
                </c:pt>
                <c:pt idx="5">
                  <c:v>44473</c:v>
                </c:pt>
                <c:pt idx="6">
                  <c:v>44475</c:v>
                </c:pt>
                <c:pt idx="7">
                  <c:v>44477</c:v>
                </c:pt>
                <c:pt idx="8">
                  <c:v>44480</c:v>
                </c:pt>
                <c:pt idx="9">
                  <c:v>44482</c:v>
                </c:pt>
                <c:pt idx="10">
                  <c:v>44484</c:v>
                </c:pt>
                <c:pt idx="11">
                  <c:v>44487</c:v>
                </c:pt>
                <c:pt idx="12">
                  <c:v>44489</c:v>
                </c:pt>
                <c:pt idx="13">
                  <c:v>44491</c:v>
                </c:pt>
                <c:pt idx="14">
                  <c:v>44498</c:v>
                </c:pt>
                <c:pt idx="15">
                  <c:v>44519</c:v>
                </c:pt>
                <c:pt idx="16">
                  <c:v>44547</c:v>
                </c:pt>
                <c:pt idx="17">
                  <c:v>44561</c:v>
                </c:pt>
                <c:pt idx="18">
                  <c:v>44582</c:v>
                </c:pt>
                <c:pt idx="19">
                  <c:v>44610</c:v>
                </c:pt>
                <c:pt idx="20">
                  <c:v>44638</c:v>
                </c:pt>
                <c:pt idx="21">
                  <c:v>44651</c:v>
                </c:pt>
                <c:pt idx="22">
                  <c:v>44729</c:v>
                </c:pt>
                <c:pt idx="23">
                  <c:v>44742</c:v>
                </c:pt>
              </c:numCache>
            </c:numRef>
          </c:xVal>
          <c:yVal>
            <c:numRef>
              <c:f>'K434'!$K$33:$K$56</c:f>
              <c:numCache>
                <c:formatCode>0.00%</c:formatCode>
                <c:ptCount val="24"/>
                <c:pt idx="0">
                  <c:v>0.2621</c:v>
                </c:pt>
                <c:pt idx="1">
                  <c:v>0.2142</c:v>
                </c:pt>
                <c:pt idx="2">
                  <c:v>0.21790000000000001</c:v>
                </c:pt>
                <c:pt idx="3">
                  <c:v>0.22059999999999999</c:v>
                </c:pt>
                <c:pt idx="4">
                  <c:v>0.2228</c:v>
                </c:pt>
                <c:pt idx="5">
                  <c:v>0.20799999999999999</c:v>
                </c:pt>
                <c:pt idx="6">
                  <c:v>0.2102</c:v>
                </c:pt>
                <c:pt idx="7">
                  <c:v>0.21190000000000001</c:v>
                </c:pt>
                <c:pt idx="8">
                  <c:v>0.20280000000000001</c:v>
                </c:pt>
                <c:pt idx="9">
                  <c:v>0.20399999999999999</c:v>
                </c:pt>
                <c:pt idx="10">
                  <c:v>0.20480000000000001</c:v>
                </c:pt>
                <c:pt idx="11">
                  <c:v>0.19939999999999999</c:v>
                </c:pt>
                <c:pt idx="12">
                  <c:v>0.2006</c:v>
                </c:pt>
                <c:pt idx="13">
                  <c:v>0.2016</c:v>
                </c:pt>
                <c:pt idx="14">
                  <c:v>0.20050000000000001</c:v>
                </c:pt>
                <c:pt idx="15">
                  <c:v>0.19819999999999999</c:v>
                </c:pt>
                <c:pt idx="16">
                  <c:v>0.2039</c:v>
                </c:pt>
                <c:pt idx="17">
                  <c:v>0.20399999999999999</c:v>
                </c:pt>
                <c:pt idx="18">
                  <c:v>0.2031</c:v>
                </c:pt>
                <c:pt idx="19">
                  <c:v>0.20599999999999999</c:v>
                </c:pt>
                <c:pt idx="20">
                  <c:v>0.21029999999999999</c:v>
                </c:pt>
                <c:pt idx="21">
                  <c:v>0.21110000000000001</c:v>
                </c:pt>
                <c:pt idx="22">
                  <c:v>0.21579999999999999</c:v>
                </c:pt>
                <c:pt idx="23">
                  <c:v>0.21820000000000001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82-47FB-9290-6B885E1BC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065119"/>
        <c:axId val="1373241983"/>
      </c:scatterChart>
      <c:valAx>
        <c:axId val="933065119"/>
        <c:scaling>
          <c:orientation val="minMax"/>
          <c:max val="44740"/>
          <c:min val="444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241983"/>
        <c:crosses val="autoZero"/>
        <c:crossBetween val="midCat"/>
      </c:valAx>
      <c:valAx>
        <c:axId val="1373241983"/>
        <c:scaling>
          <c:orientation val="minMax"/>
          <c:min val="0.19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06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20</xdr:col>
      <xdr:colOff>312208</xdr:colOff>
      <xdr:row>10</xdr:row>
      <xdr:rowOff>397228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3DCFC4-F7CC-485F-B520-963B93028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209550</xdr:colOff>
      <xdr:row>0</xdr:row>
      <xdr:rowOff>171451</xdr:rowOff>
    </xdr:from>
    <xdr:to>
      <xdr:col>26</xdr:col>
      <xdr:colOff>247650</xdr:colOff>
      <xdr:row>31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4AF9E-0C5F-48A8-9C9B-49567FAAB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85724</xdr:colOff>
      <xdr:row>3</xdr:row>
      <xdr:rowOff>23811</xdr:rowOff>
    </xdr:from>
    <xdr:to>
      <xdr:col>25</xdr:col>
      <xdr:colOff>190500</xdr:colOff>
      <xdr:row>25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07CB14-FF35-4B08-89DC-2892C1EBE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28</xdr:row>
      <xdr:rowOff>0</xdr:rowOff>
    </xdr:from>
    <xdr:to>
      <xdr:col>22</xdr:col>
      <xdr:colOff>523875</xdr:colOff>
      <xdr:row>48</xdr:row>
      <xdr:rowOff>90488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03B638-A5C9-4FA5-8B8F-EF44380616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85724</xdr:colOff>
      <xdr:row>3</xdr:row>
      <xdr:rowOff>23811</xdr:rowOff>
    </xdr:from>
    <xdr:to>
      <xdr:col>25</xdr:col>
      <xdr:colOff>190500</xdr:colOff>
      <xdr:row>25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3E1892-49AC-4439-9497-6B21E883F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28</xdr:row>
      <xdr:rowOff>0</xdr:rowOff>
    </xdr:from>
    <xdr:to>
      <xdr:col>22</xdr:col>
      <xdr:colOff>523875</xdr:colOff>
      <xdr:row>48</xdr:row>
      <xdr:rowOff>90488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C49DF0-AEF7-4657-9546-3D8EE5E52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7620B8-0B48-4FF8-8291-594A91D77607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yahoo.com/quote/SPY211029C00457500?p=SPY211029C00457500" TargetMode="External"/><Relationship Id="rId21" Type="http://schemas.openxmlformats.org/officeDocument/2006/relationships/hyperlink" Target="https://finance.yahoo.com/quote/SPY211029C00408000?p=SPY211029C00408000" TargetMode="External"/><Relationship Id="rId42" Type="http://schemas.openxmlformats.org/officeDocument/2006/relationships/hyperlink" Target="https://finance.yahoo.com/quote/SPY/options?strike=424&amp;straddle=false" TargetMode="External"/><Relationship Id="rId63" Type="http://schemas.openxmlformats.org/officeDocument/2006/relationships/hyperlink" Target="https://finance.yahoo.com/quote/SPY211029C00435000?p=SPY211029C00435000" TargetMode="External"/><Relationship Id="rId84" Type="http://schemas.openxmlformats.org/officeDocument/2006/relationships/hyperlink" Target="https://finance.yahoo.com/quote/SPY/options?strike=443&amp;straddle=false" TargetMode="External"/><Relationship Id="rId138" Type="http://schemas.openxmlformats.org/officeDocument/2006/relationships/hyperlink" Target="https://finance.yahoo.com/quote/SPY/options?strike=466&amp;straddle=false" TargetMode="External"/><Relationship Id="rId159" Type="http://schemas.openxmlformats.org/officeDocument/2006/relationships/hyperlink" Target="https://finance.yahoo.com/quote/SPY211029C00475000?p=SPY211029C00475000" TargetMode="External"/><Relationship Id="rId170" Type="http://schemas.openxmlformats.org/officeDocument/2006/relationships/hyperlink" Target="https://finance.yahoo.com/quote/SPY/options?strike=479&amp;straddle=false" TargetMode="External"/><Relationship Id="rId191" Type="http://schemas.openxmlformats.org/officeDocument/2006/relationships/hyperlink" Target="https://finance.yahoo.com/quote/SPY211029C00495000?p=SPY211029C00495000" TargetMode="External"/><Relationship Id="rId107" Type="http://schemas.openxmlformats.org/officeDocument/2006/relationships/hyperlink" Target="https://finance.yahoo.com/quote/SPY211029C00453000?p=SPY211029C00453000" TargetMode="External"/><Relationship Id="rId11" Type="http://schemas.openxmlformats.org/officeDocument/2006/relationships/hyperlink" Target="https://finance.yahoo.com/quote/SPY211029C00400000?p=SPY211029C00400000" TargetMode="External"/><Relationship Id="rId32" Type="http://schemas.openxmlformats.org/officeDocument/2006/relationships/hyperlink" Target="https://finance.yahoo.com/quote/SPY/options?strike=416&amp;straddle=false" TargetMode="External"/><Relationship Id="rId53" Type="http://schemas.openxmlformats.org/officeDocument/2006/relationships/hyperlink" Target="https://finance.yahoo.com/quote/SPY211029C00430000?p=SPY211029C00430000" TargetMode="External"/><Relationship Id="rId74" Type="http://schemas.openxmlformats.org/officeDocument/2006/relationships/hyperlink" Target="https://finance.yahoo.com/quote/SPY/options?strike=439&amp;straddle=false" TargetMode="External"/><Relationship Id="rId128" Type="http://schemas.openxmlformats.org/officeDocument/2006/relationships/hyperlink" Target="https://finance.yahoo.com/quote/SPY/options?strike=462&amp;straddle=false" TargetMode="External"/><Relationship Id="rId149" Type="http://schemas.openxmlformats.org/officeDocument/2006/relationships/hyperlink" Target="https://finance.yahoo.com/quote/SPY211029C00471000?p=SPY211029C00471000" TargetMode="External"/><Relationship Id="rId5" Type="http://schemas.openxmlformats.org/officeDocument/2006/relationships/hyperlink" Target="https://finance.yahoo.com/quote/SPY211029C00385000?p=SPY211029C00385000" TargetMode="External"/><Relationship Id="rId95" Type="http://schemas.openxmlformats.org/officeDocument/2006/relationships/hyperlink" Target="https://finance.yahoo.com/quote/SPY211029C00448000?p=SPY211029C00448000" TargetMode="External"/><Relationship Id="rId160" Type="http://schemas.openxmlformats.org/officeDocument/2006/relationships/hyperlink" Target="https://finance.yahoo.com/quote/SPY/options?strike=475&amp;straddle=false" TargetMode="External"/><Relationship Id="rId181" Type="http://schemas.openxmlformats.org/officeDocument/2006/relationships/hyperlink" Target="https://finance.yahoo.com/quote/SPY211029C00485000?p=SPY211029C00485000" TargetMode="External"/><Relationship Id="rId22" Type="http://schemas.openxmlformats.org/officeDocument/2006/relationships/hyperlink" Target="https://finance.yahoo.com/quote/SPY/options?strike=408&amp;straddle=false" TargetMode="External"/><Relationship Id="rId43" Type="http://schemas.openxmlformats.org/officeDocument/2006/relationships/hyperlink" Target="https://finance.yahoo.com/quote/SPY211029C00425000?p=SPY211029C00425000" TargetMode="External"/><Relationship Id="rId64" Type="http://schemas.openxmlformats.org/officeDocument/2006/relationships/hyperlink" Target="https://finance.yahoo.com/quote/SPY/options?strike=435&amp;straddle=false" TargetMode="External"/><Relationship Id="rId118" Type="http://schemas.openxmlformats.org/officeDocument/2006/relationships/hyperlink" Target="https://finance.yahoo.com/quote/SPY/options?strike=457.5&amp;straddle=false" TargetMode="External"/><Relationship Id="rId139" Type="http://schemas.openxmlformats.org/officeDocument/2006/relationships/hyperlink" Target="https://finance.yahoo.com/quote/SPY211029C00467000?p=SPY211029C00467000" TargetMode="External"/><Relationship Id="rId85" Type="http://schemas.openxmlformats.org/officeDocument/2006/relationships/hyperlink" Target="https://finance.yahoo.com/quote/SPY211029C00444000?p=SPY211029C00444000" TargetMode="External"/><Relationship Id="rId150" Type="http://schemas.openxmlformats.org/officeDocument/2006/relationships/hyperlink" Target="https://finance.yahoo.com/quote/SPY/options?strike=471&amp;straddle=false" TargetMode="External"/><Relationship Id="rId171" Type="http://schemas.openxmlformats.org/officeDocument/2006/relationships/hyperlink" Target="https://finance.yahoo.com/quote/SPY211029C00480000?p=SPY211029C00480000" TargetMode="External"/><Relationship Id="rId192" Type="http://schemas.openxmlformats.org/officeDocument/2006/relationships/hyperlink" Target="https://finance.yahoo.com/quote/SPY/options?strike=495&amp;straddle=false" TargetMode="External"/><Relationship Id="rId12" Type="http://schemas.openxmlformats.org/officeDocument/2006/relationships/hyperlink" Target="https://finance.yahoo.com/quote/SPY/options?strike=400&amp;straddle=false" TargetMode="External"/><Relationship Id="rId33" Type="http://schemas.openxmlformats.org/officeDocument/2006/relationships/hyperlink" Target="https://finance.yahoo.com/quote/SPY211029C00417500?p=SPY211029C00417500" TargetMode="External"/><Relationship Id="rId108" Type="http://schemas.openxmlformats.org/officeDocument/2006/relationships/hyperlink" Target="https://finance.yahoo.com/quote/SPY/options?strike=453&amp;straddle=false" TargetMode="External"/><Relationship Id="rId129" Type="http://schemas.openxmlformats.org/officeDocument/2006/relationships/hyperlink" Target="https://finance.yahoo.com/quote/SPY211029C00462500?p=SPY211029C00462500" TargetMode="External"/><Relationship Id="rId54" Type="http://schemas.openxmlformats.org/officeDocument/2006/relationships/hyperlink" Target="https://finance.yahoo.com/quote/SPY/options?strike=430&amp;straddle=false" TargetMode="External"/><Relationship Id="rId75" Type="http://schemas.openxmlformats.org/officeDocument/2006/relationships/hyperlink" Target="https://finance.yahoo.com/quote/SPY211029C00440000?p=SPY211029C00440000" TargetMode="External"/><Relationship Id="rId96" Type="http://schemas.openxmlformats.org/officeDocument/2006/relationships/hyperlink" Target="https://finance.yahoo.com/quote/SPY/options?strike=448&amp;straddle=false" TargetMode="External"/><Relationship Id="rId140" Type="http://schemas.openxmlformats.org/officeDocument/2006/relationships/hyperlink" Target="https://finance.yahoo.com/quote/SPY/options?strike=467&amp;straddle=false" TargetMode="External"/><Relationship Id="rId161" Type="http://schemas.openxmlformats.org/officeDocument/2006/relationships/hyperlink" Target="https://finance.yahoo.com/quote/SPY211029C00476000?p=SPY211029C00476000" TargetMode="External"/><Relationship Id="rId182" Type="http://schemas.openxmlformats.org/officeDocument/2006/relationships/hyperlink" Target="https://finance.yahoo.com/quote/SPY/options?strike=485&amp;straddle=false" TargetMode="External"/><Relationship Id="rId6" Type="http://schemas.openxmlformats.org/officeDocument/2006/relationships/hyperlink" Target="https://finance.yahoo.com/quote/SPY/options?strike=385&amp;straddle=false" TargetMode="External"/><Relationship Id="rId23" Type="http://schemas.openxmlformats.org/officeDocument/2006/relationships/hyperlink" Target="https://finance.yahoo.com/quote/SPY211029C00409000?p=SPY211029C00409000" TargetMode="External"/><Relationship Id="rId119" Type="http://schemas.openxmlformats.org/officeDocument/2006/relationships/hyperlink" Target="https://finance.yahoo.com/quote/SPY211029C00458000?p=SPY211029C00458000" TargetMode="External"/><Relationship Id="rId44" Type="http://schemas.openxmlformats.org/officeDocument/2006/relationships/hyperlink" Target="https://finance.yahoo.com/quote/SPY/options?strike=425&amp;straddle=false" TargetMode="External"/><Relationship Id="rId65" Type="http://schemas.openxmlformats.org/officeDocument/2006/relationships/hyperlink" Target="https://finance.yahoo.com/quote/SPY211029C00436000?p=SPY211029C00436000" TargetMode="External"/><Relationship Id="rId86" Type="http://schemas.openxmlformats.org/officeDocument/2006/relationships/hyperlink" Target="https://finance.yahoo.com/quote/SPY/options?strike=444&amp;straddle=false" TargetMode="External"/><Relationship Id="rId130" Type="http://schemas.openxmlformats.org/officeDocument/2006/relationships/hyperlink" Target="https://finance.yahoo.com/quote/SPY/options?strike=462.5&amp;straddle=false" TargetMode="External"/><Relationship Id="rId151" Type="http://schemas.openxmlformats.org/officeDocument/2006/relationships/hyperlink" Target="https://finance.yahoo.com/quote/SPY211029C00472000?p=SPY211029C00472000" TargetMode="External"/><Relationship Id="rId172" Type="http://schemas.openxmlformats.org/officeDocument/2006/relationships/hyperlink" Target="https://finance.yahoo.com/quote/SPY/options?strike=480&amp;straddle=false" TargetMode="External"/><Relationship Id="rId193" Type="http://schemas.openxmlformats.org/officeDocument/2006/relationships/hyperlink" Target="https://finance.yahoo.com/quote/SPY211029C00500000?p=SPY211029C00500000" TargetMode="External"/><Relationship Id="rId13" Type="http://schemas.openxmlformats.org/officeDocument/2006/relationships/hyperlink" Target="https://finance.yahoo.com/quote/SPY211029C00402000?p=SPY211029C00402000" TargetMode="External"/><Relationship Id="rId109" Type="http://schemas.openxmlformats.org/officeDocument/2006/relationships/hyperlink" Target="https://finance.yahoo.com/quote/SPY211029C00454000?p=SPY211029C00454000" TargetMode="External"/><Relationship Id="rId34" Type="http://schemas.openxmlformats.org/officeDocument/2006/relationships/hyperlink" Target="https://finance.yahoo.com/quote/SPY/options?strike=417.5&amp;straddle=false" TargetMode="External"/><Relationship Id="rId55" Type="http://schemas.openxmlformats.org/officeDocument/2006/relationships/hyperlink" Target="https://finance.yahoo.com/quote/SPY211029C00431000?p=SPY211029C00431000" TargetMode="External"/><Relationship Id="rId76" Type="http://schemas.openxmlformats.org/officeDocument/2006/relationships/hyperlink" Target="https://finance.yahoo.com/quote/SPY/options?strike=440&amp;straddle=false" TargetMode="External"/><Relationship Id="rId97" Type="http://schemas.openxmlformats.org/officeDocument/2006/relationships/hyperlink" Target="https://finance.yahoo.com/quote/SPY211029C00449000?p=SPY211029C00449000" TargetMode="External"/><Relationship Id="rId120" Type="http://schemas.openxmlformats.org/officeDocument/2006/relationships/hyperlink" Target="https://finance.yahoo.com/quote/SPY/options?strike=458&amp;straddle=false" TargetMode="External"/><Relationship Id="rId141" Type="http://schemas.openxmlformats.org/officeDocument/2006/relationships/hyperlink" Target="https://finance.yahoo.com/quote/SPY211029C00467500?p=SPY211029C00467500" TargetMode="External"/><Relationship Id="rId7" Type="http://schemas.openxmlformats.org/officeDocument/2006/relationships/hyperlink" Target="https://finance.yahoo.com/quote/SPY211029C00390000?p=SPY211029C00390000" TargetMode="External"/><Relationship Id="rId162" Type="http://schemas.openxmlformats.org/officeDocument/2006/relationships/hyperlink" Target="https://finance.yahoo.com/quote/SPY/options?strike=476&amp;straddle=false" TargetMode="External"/><Relationship Id="rId183" Type="http://schemas.openxmlformats.org/officeDocument/2006/relationships/hyperlink" Target="https://finance.yahoo.com/quote/SPY211029C00486000?p=SPY211029C00486000" TargetMode="External"/><Relationship Id="rId2" Type="http://schemas.openxmlformats.org/officeDocument/2006/relationships/hyperlink" Target="https://finance.yahoo.com/quote/SPY/options?strike=375&amp;straddle=false" TargetMode="External"/><Relationship Id="rId29" Type="http://schemas.openxmlformats.org/officeDocument/2006/relationships/hyperlink" Target="https://finance.yahoo.com/quote/SPY211029C00415000?p=SPY211029C00415000" TargetMode="External"/><Relationship Id="rId24" Type="http://schemas.openxmlformats.org/officeDocument/2006/relationships/hyperlink" Target="https://finance.yahoo.com/quote/SPY/options?strike=409&amp;straddle=false" TargetMode="External"/><Relationship Id="rId40" Type="http://schemas.openxmlformats.org/officeDocument/2006/relationships/hyperlink" Target="https://finance.yahoo.com/quote/SPY/options?strike=422.5&amp;straddle=false" TargetMode="External"/><Relationship Id="rId45" Type="http://schemas.openxmlformats.org/officeDocument/2006/relationships/hyperlink" Target="https://finance.yahoo.com/quote/SPY211029C00426000?p=SPY211029C00426000" TargetMode="External"/><Relationship Id="rId66" Type="http://schemas.openxmlformats.org/officeDocument/2006/relationships/hyperlink" Target="https://finance.yahoo.com/quote/SPY/options?strike=436&amp;straddle=false" TargetMode="External"/><Relationship Id="rId87" Type="http://schemas.openxmlformats.org/officeDocument/2006/relationships/hyperlink" Target="https://finance.yahoo.com/quote/SPY211029C00445000?p=SPY211029C00445000" TargetMode="External"/><Relationship Id="rId110" Type="http://schemas.openxmlformats.org/officeDocument/2006/relationships/hyperlink" Target="https://finance.yahoo.com/quote/SPY/options?strike=454&amp;straddle=false" TargetMode="External"/><Relationship Id="rId115" Type="http://schemas.openxmlformats.org/officeDocument/2006/relationships/hyperlink" Target="https://finance.yahoo.com/quote/SPY211029C00457000?p=SPY211029C00457000" TargetMode="External"/><Relationship Id="rId131" Type="http://schemas.openxmlformats.org/officeDocument/2006/relationships/hyperlink" Target="https://finance.yahoo.com/quote/SPY211029C00463000?p=SPY211029C00463000" TargetMode="External"/><Relationship Id="rId136" Type="http://schemas.openxmlformats.org/officeDocument/2006/relationships/hyperlink" Target="https://finance.yahoo.com/quote/SPY/options?strike=465&amp;straddle=false" TargetMode="External"/><Relationship Id="rId157" Type="http://schemas.openxmlformats.org/officeDocument/2006/relationships/hyperlink" Target="https://finance.yahoo.com/quote/SPY211029C00474000?p=SPY211029C00474000" TargetMode="External"/><Relationship Id="rId178" Type="http://schemas.openxmlformats.org/officeDocument/2006/relationships/hyperlink" Target="https://finance.yahoo.com/quote/SPY/options?strike=483&amp;straddle=false" TargetMode="External"/><Relationship Id="rId61" Type="http://schemas.openxmlformats.org/officeDocument/2006/relationships/hyperlink" Target="https://finance.yahoo.com/quote/SPY211029C00434000?p=SPY211029C00434000" TargetMode="External"/><Relationship Id="rId82" Type="http://schemas.openxmlformats.org/officeDocument/2006/relationships/hyperlink" Target="https://finance.yahoo.com/quote/SPY/options?strike=442.5&amp;straddle=false" TargetMode="External"/><Relationship Id="rId152" Type="http://schemas.openxmlformats.org/officeDocument/2006/relationships/hyperlink" Target="https://finance.yahoo.com/quote/SPY/options?strike=472&amp;straddle=false" TargetMode="External"/><Relationship Id="rId173" Type="http://schemas.openxmlformats.org/officeDocument/2006/relationships/hyperlink" Target="https://finance.yahoo.com/quote/SPY211029C00482000?p=SPY211029C00482000" TargetMode="External"/><Relationship Id="rId194" Type="http://schemas.openxmlformats.org/officeDocument/2006/relationships/hyperlink" Target="https://finance.yahoo.com/quote/SPY/options?strike=500&amp;straddle=false" TargetMode="External"/><Relationship Id="rId199" Type="http://schemas.openxmlformats.org/officeDocument/2006/relationships/hyperlink" Target="https://finance.yahoo.com/quote/SPY211029C00540000?p=SPY211029C00540000" TargetMode="External"/><Relationship Id="rId19" Type="http://schemas.openxmlformats.org/officeDocument/2006/relationships/hyperlink" Target="https://finance.yahoo.com/quote/SPY211029C00406000?p=SPY211029C00406000" TargetMode="External"/><Relationship Id="rId14" Type="http://schemas.openxmlformats.org/officeDocument/2006/relationships/hyperlink" Target="https://finance.yahoo.com/quote/SPY/options?strike=402&amp;straddle=false" TargetMode="External"/><Relationship Id="rId30" Type="http://schemas.openxmlformats.org/officeDocument/2006/relationships/hyperlink" Target="https://finance.yahoo.com/quote/SPY/options?strike=415&amp;straddle=false" TargetMode="External"/><Relationship Id="rId35" Type="http://schemas.openxmlformats.org/officeDocument/2006/relationships/hyperlink" Target="https://finance.yahoo.com/quote/SPY211029C00420000?p=SPY211029C00420000" TargetMode="External"/><Relationship Id="rId56" Type="http://schemas.openxmlformats.org/officeDocument/2006/relationships/hyperlink" Target="https://finance.yahoo.com/quote/SPY/options?strike=431&amp;straddle=false" TargetMode="External"/><Relationship Id="rId77" Type="http://schemas.openxmlformats.org/officeDocument/2006/relationships/hyperlink" Target="https://finance.yahoo.com/quote/SPY211029C00441000?p=SPY211029C00441000" TargetMode="External"/><Relationship Id="rId100" Type="http://schemas.openxmlformats.org/officeDocument/2006/relationships/hyperlink" Target="https://finance.yahoo.com/quote/SPY/options?strike=450&amp;straddle=false" TargetMode="External"/><Relationship Id="rId105" Type="http://schemas.openxmlformats.org/officeDocument/2006/relationships/hyperlink" Target="https://finance.yahoo.com/quote/SPY211029C00452500?p=SPY211029C00452500" TargetMode="External"/><Relationship Id="rId126" Type="http://schemas.openxmlformats.org/officeDocument/2006/relationships/hyperlink" Target="https://finance.yahoo.com/quote/SPY/options?strike=461&amp;straddle=false" TargetMode="External"/><Relationship Id="rId147" Type="http://schemas.openxmlformats.org/officeDocument/2006/relationships/hyperlink" Target="https://finance.yahoo.com/quote/SPY211029C00470000?p=SPY211029C00470000" TargetMode="External"/><Relationship Id="rId168" Type="http://schemas.openxmlformats.org/officeDocument/2006/relationships/hyperlink" Target="https://finance.yahoo.com/quote/SPY/options?strike=478&amp;straddle=false" TargetMode="External"/><Relationship Id="rId8" Type="http://schemas.openxmlformats.org/officeDocument/2006/relationships/hyperlink" Target="https://finance.yahoo.com/quote/SPY/options?strike=390&amp;straddle=false" TargetMode="External"/><Relationship Id="rId51" Type="http://schemas.openxmlformats.org/officeDocument/2006/relationships/hyperlink" Target="https://finance.yahoo.com/quote/SPY211029C00428000?p=SPY211029C00428000" TargetMode="External"/><Relationship Id="rId72" Type="http://schemas.openxmlformats.org/officeDocument/2006/relationships/hyperlink" Target="https://finance.yahoo.com/quote/SPY/options?strike=438&amp;straddle=false" TargetMode="External"/><Relationship Id="rId93" Type="http://schemas.openxmlformats.org/officeDocument/2006/relationships/hyperlink" Target="https://finance.yahoo.com/quote/SPY211029C00447500?p=SPY211029C00447500" TargetMode="External"/><Relationship Id="rId98" Type="http://schemas.openxmlformats.org/officeDocument/2006/relationships/hyperlink" Target="https://finance.yahoo.com/quote/SPY/options?strike=449&amp;straddle=false" TargetMode="External"/><Relationship Id="rId121" Type="http://schemas.openxmlformats.org/officeDocument/2006/relationships/hyperlink" Target="https://finance.yahoo.com/quote/SPY211029C00459000?p=SPY211029C00459000" TargetMode="External"/><Relationship Id="rId142" Type="http://schemas.openxmlformats.org/officeDocument/2006/relationships/hyperlink" Target="https://finance.yahoo.com/quote/SPY/options?strike=467.5&amp;straddle=false" TargetMode="External"/><Relationship Id="rId163" Type="http://schemas.openxmlformats.org/officeDocument/2006/relationships/hyperlink" Target="https://finance.yahoo.com/quote/SPY211029C00477000?p=SPY211029C00477000" TargetMode="External"/><Relationship Id="rId184" Type="http://schemas.openxmlformats.org/officeDocument/2006/relationships/hyperlink" Target="https://finance.yahoo.com/quote/SPY/options?strike=486&amp;straddle=false" TargetMode="External"/><Relationship Id="rId189" Type="http://schemas.openxmlformats.org/officeDocument/2006/relationships/hyperlink" Target="https://finance.yahoo.com/quote/SPY211029C00490000?p=SPY211029C00490000" TargetMode="External"/><Relationship Id="rId3" Type="http://schemas.openxmlformats.org/officeDocument/2006/relationships/hyperlink" Target="https://finance.yahoo.com/quote/SPY211029C00380000?p=SPY211029C00380000" TargetMode="External"/><Relationship Id="rId25" Type="http://schemas.openxmlformats.org/officeDocument/2006/relationships/hyperlink" Target="https://finance.yahoo.com/quote/SPY211029C00410000?p=SPY211029C00410000" TargetMode="External"/><Relationship Id="rId46" Type="http://schemas.openxmlformats.org/officeDocument/2006/relationships/hyperlink" Target="https://finance.yahoo.com/quote/SPY/options?strike=426&amp;straddle=false" TargetMode="External"/><Relationship Id="rId67" Type="http://schemas.openxmlformats.org/officeDocument/2006/relationships/hyperlink" Target="https://finance.yahoo.com/quote/SPY211029C00437000?p=SPY211029C00437000" TargetMode="External"/><Relationship Id="rId116" Type="http://schemas.openxmlformats.org/officeDocument/2006/relationships/hyperlink" Target="https://finance.yahoo.com/quote/SPY/options?strike=457&amp;straddle=false" TargetMode="External"/><Relationship Id="rId137" Type="http://schemas.openxmlformats.org/officeDocument/2006/relationships/hyperlink" Target="https://finance.yahoo.com/quote/SPY211029C00466000?p=SPY211029C00466000" TargetMode="External"/><Relationship Id="rId158" Type="http://schemas.openxmlformats.org/officeDocument/2006/relationships/hyperlink" Target="https://finance.yahoo.com/quote/SPY/options?strike=474&amp;straddle=false" TargetMode="External"/><Relationship Id="rId20" Type="http://schemas.openxmlformats.org/officeDocument/2006/relationships/hyperlink" Target="https://finance.yahoo.com/quote/SPY/options?strike=406&amp;straddle=false" TargetMode="External"/><Relationship Id="rId41" Type="http://schemas.openxmlformats.org/officeDocument/2006/relationships/hyperlink" Target="https://finance.yahoo.com/quote/SPY211029C00424000?p=SPY211029C00424000" TargetMode="External"/><Relationship Id="rId62" Type="http://schemas.openxmlformats.org/officeDocument/2006/relationships/hyperlink" Target="https://finance.yahoo.com/quote/SPY/options?strike=434&amp;straddle=false" TargetMode="External"/><Relationship Id="rId83" Type="http://schemas.openxmlformats.org/officeDocument/2006/relationships/hyperlink" Target="https://finance.yahoo.com/quote/SPY211029C00443000?p=SPY211029C00443000" TargetMode="External"/><Relationship Id="rId88" Type="http://schemas.openxmlformats.org/officeDocument/2006/relationships/hyperlink" Target="https://finance.yahoo.com/quote/SPY/options?strike=445&amp;straddle=false" TargetMode="External"/><Relationship Id="rId111" Type="http://schemas.openxmlformats.org/officeDocument/2006/relationships/hyperlink" Target="https://finance.yahoo.com/quote/SPY211029C00455000?p=SPY211029C00455000" TargetMode="External"/><Relationship Id="rId132" Type="http://schemas.openxmlformats.org/officeDocument/2006/relationships/hyperlink" Target="https://finance.yahoo.com/quote/SPY/options?strike=463&amp;straddle=false" TargetMode="External"/><Relationship Id="rId153" Type="http://schemas.openxmlformats.org/officeDocument/2006/relationships/hyperlink" Target="https://finance.yahoo.com/quote/SPY211029C00472500?p=SPY211029C00472500" TargetMode="External"/><Relationship Id="rId174" Type="http://schemas.openxmlformats.org/officeDocument/2006/relationships/hyperlink" Target="https://finance.yahoo.com/quote/SPY/options?strike=482&amp;straddle=false" TargetMode="External"/><Relationship Id="rId179" Type="http://schemas.openxmlformats.org/officeDocument/2006/relationships/hyperlink" Target="https://finance.yahoo.com/quote/SPY211029C00484000?p=SPY211029C00484000" TargetMode="External"/><Relationship Id="rId195" Type="http://schemas.openxmlformats.org/officeDocument/2006/relationships/hyperlink" Target="https://finance.yahoo.com/quote/SPY211029C00510000?p=SPY211029C00510000" TargetMode="External"/><Relationship Id="rId190" Type="http://schemas.openxmlformats.org/officeDocument/2006/relationships/hyperlink" Target="https://finance.yahoo.com/quote/SPY/options?strike=490&amp;straddle=false" TargetMode="External"/><Relationship Id="rId15" Type="http://schemas.openxmlformats.org/officeDocument/2006/relationships/hyperlink" Target="https://finance.yahoo.com/quote/SPY211029C00403000?p=SPY211029C00403000" TargetMode="External"/><Relationship Id="rId36" Type="http://schemas.openxmlformats.org/officeDocument/2006/relationships/hyperlink" Target="https://finance.yahoo.com/quote/SPY/options?strike=420&amp;straddle=false" TargetMode="External"/><Relationship Id="rId57" Type="http://schemas.openxmlformats.org/officeDocument/2006/relationships/hyperlink" Target="https://finance.yahoo.com/quote/SPY211029C00432000?p=SPY211029C00432000" TargetMode="External"/><Relationship Id="rId106" Type="http://schemas.openxmlformats.org/officeDocument/2006/relationships/hyperlink" Target="https://finance.yahoo.com/quote/SPY/options?strike=452.5&amp;straddle=false" TargetMode="External"/><Relationship Id="rId127" Type="http://schemas.openxmlformats.org/officeDocument/2006/relationships/hyperlink" Target="https://finance.yahoo.com/quote/SPY211029C00462000?p=SPY211029C00462000" TargetMode="External"/><Relationship Id="rId10" Type="http://schemas.openxmlformats.org/officeDocument/2006/relationships/hyperlink" Target="https://finance.yahoo.com/quote/SPY/options?strike=395&amp;straddle=false" TargetMode="External"/><Relationship Id="rId31" Type="http://schemas.openxmlformats.org/officeDocument/2006/relationships/hyperlink" Target="https://finance.yahoo.com/quote/SPY211029C00416000?p=SPY211029C00416000" TargetMode="External"/><Relationship Id="rId52" Type="http://schemas.openxmlformats.org/officeDocument/2006/relationships/hyperlink" Target="https://finance.yahoo.com/quote/SPY/options?strike=428&amp;straddle=false" TargetMode="External"/><Relationship Id="rId73" Type="http://schemas.openxmlformats.org/officeDocument/2006/relationships/hyperlink" Target="https://finance.yahoo.com/quote/SPY211029C00439000?p=SPY211029C00439000" TargetMode="External"/><Relationship Id="rId78" Type="http://schemas.openxmlformats.org/officeDocument/2006/relationships/hyperlink" Target="https://finance.yahoo.com/quote/SPY/options?strike=441&amp;straddle=false" TargetMode="External"/><Relationship Id="rId94" Type="http://schemas.openxmlformats.org/officeDocument/2006/relationships/hyperlink" Target="https://finance.yahoo.com/quote/SPY/options?strike=447.5&amp;straddle=false" TargetMode="External"/><Relationship Id="rId99" Type="http://schemas.openxmlformats.org/officeDocument/2006/relationships/hyperlink" Target="https://finance.yahoo.com/quote/SPY211029C00450000?p=SPY211029C00450000" TargetMode="External"/><Relationship Id="rId101" Type="http://schemas.openxmlformats.org/officeDocument/2006/relationships/hyperlink" Target="https://finance.yahoo.com/quote/SPY211029C00451000?p=SPY211029C00451000" TargetMode="External"/><Relationship Id="rId122" Type="http://schemas.openxmlformats.org/officeDocument/2006/relationships/hyperlink" Target="https://finance.yahoo.com/quote/SPY/options?strike=459&amp;straddle=false" TargetMode="External"/><Relationship Id="rId143" Type="http://schemas.openxmlformats.org/officeDocument/2006/relationships/hyperlink" Target="https://finance.yahoo.com/quote/SPY211029C00468000?p=SPY211029C00468000" TargetMode="External"/><Relationship Id="rId148" Type="http://schemas.openxmlformats.org/officeDocument/2006/relationships/hyperlink" Target="https://finance.yahoo.com/quote/SPY/options?strike=470&amp;straddle=false" TargetMode="External"/><Relationship Id="rId164" Type="http://schemas.openxmlformats.org/officeDocument/2006/relationships/hyperlink" Target="https://finance.yahoo.com/quote/SPY/options?strike=477&amp;straddle=false" TargetMode="External"/><Relationship Id="rId169" Type="http://schemas.openxmlformats.org/officeDocument/2006/relationships/hyperlink" Target="https://finance.yahoo.com/quote/SPY211029C00479000?p=SPY211029C00479000" TargetMode="External"/><Relationship Id="rId185" Type="http://schemas.openxmlformats.org/officeDocument/2006/relationships/hyperlink" Target="https://finance.yahoo.com/quote/SPY211029C00487000?p=SPY211029C00487000" TargetMode="External"/><Relationship Id="rId4" Type="http://schemas.openxmlformats.org/officeDocument/2006/relationships/hyperlink" Target="https://finance.yahoo.com/quote/SPY/options?strike=380&amp;straddle=false" TargetMode="External"/><Relationship Id="rId9" Type="http://schemas.openxmlformats.org/officeDocument/2006/relationships/hyperlink" Target="https://finance.yahoo.com/quote/SPY211029C00395000?p=SPY211029C00395000" TargetMode="External"/><Relationship Id="rId180" Type="http://schemas.openxmlformats.org/officeDocument/2006/relationships/hyperlink" Target="https://finance.yahoo.com/quote/SPY/options?strike=484&amp;straddle=false" TargetMode="External"/><Relationship Id="rId26" Type="http://schemas.openxmlformats.org/officeDocument/2006/relationships/hyperlink" Target="https://finance.yahoo.com/quote/SPY/options?strike=410&amp;straddle=false" TargetMode="External"/><Relationship Id="rId47" Type="http://schemas.openxmlformats.org/officeDocument/2006/relationships/hyperlink" Target="https://finance.yahoo.com/quote/SPY211029C00427000?p=SPY211029C00427000" TargetMode="External"/><Relationship Id="rId68" Type="http://schemas.openxmlformats.org/officeDocument/2006/relationships/hyperlink" Target="https://finance.yahoo.com/quote/SPY/options?strike=437&amp;straddle=false" TargetMode="External"/><Relationship Id="rId89" Type="http://schemas.openxmlformats.org/officeDocument/2006/relationships/hyperlink" Target="https://finance.yahoo.com/quote/SPY211029C00446000?p=SPY211029C00446000" TargetMode="External"/><Relationship Id="rId112" Type="http://schemas.openxmlformats.org/officeDocument/2006/relationships/hyperlink" Target="https://finance.yahoo.com/quote/SPY/options?strike=455&amp;straddle=false" TargetMode="External"/><Relationship Id="rId133" Type="http://schemas.openxmlformats.org/officeDocument/2006/relationships/hyperlink" Target="https://finance.yahoo.com/quote/SPY211029C00464000?p=SPY211029C00464000" TargetMode="External"/><Relationship Id="rId154" Type="http://schemas.openxmlformats.org/officeDocument/2006/relationships/hyperlink" Target="https://finance.yahoo.com/quote/SPY/options?strike=472.5&amp;straddle=false" TargetMode="External"/><Relationship Id="rId175" Type="http://schemas.openxmlformats.org/officeDocument/2006/relationships/hyperlink" Target="https://finance.yahoo.com/quote/SPY211029C00482500?p=SPY211029C00482500" TargetMode="External"/><Relationship Id="rId196" Type="http://schemas.openxmlformats.org/officeDocument/2006/relationships/hyperlink" Target="https://finance.yahoo.com/quote/SPY/options?strike=510&amp;straddle=false" TargetMode="External"/><Relationship Id="rId200" Type="http://schemas.openxmlformats.org/officeDocument/2006/relationships/hyperlink" Target="https://finance.yahoo.com/quote/SPY/options?strike=540&amp;straddle=false" TargetMode="External"/><Relationship Id="rId16" Type="http://schemas.openxmlformats.org/officeDocument/2006/relationships/hyperlink" Target="https://finance.yahoo.com/quote/SPY/options?strike=403&amp;straddle=false" TargetMode="External"/><Relationship Id="rId37" Type="http://schemas.openxmlformats.org/officeDocument/2006/relationships/hyperlink" Target="https://finance.yahoo.com/quote/SPY211029C00421000?p=SPY211029C00421000" TargetMode="External"/><Relationship Id="rId58" Type="http://schemas.openxmlformats.org/officeDocument/2006/relationships/hyperlink" Target="https://finance.yahoo.com/quote/SPY/options?strike=432&amp;straddle=false" TargetMode="External"/><Relationship Id="rId79" Type="http://schemas.openxmlformats.org/officeDocument/2006/relationships/hyperlink" Target="https://finance.yahoo.com/quote/SPY211029C00442000?p=SPY211029C00442000" TargetMode="External"/><Relationship Id="rId102" Type="http://schemas.openxmlformats.org/officeDocument/2006/relationships/hyperlink" Target="https://finance.yahoo.com/quote/SPY/options?strike=451&amp;straddle=false" TargetMode="External"/><Relationship Id="rId123" Type="http://schemas.openxmlformats.org/officeDocument/2006/relationships/hyperlink" Target="https://finance.yahoo.com/quote/SPY211029C00460000?p=SPY211029C00460000" TargetMode="External"/><Relationship Id="rId144" Type="http://schemas.openxmlformats.org/officeDocument/2006/relationships/hyperlink" Target="https://finance.yahoo.com/quote/SPY/options?strike=468&amp;straddle=false" TargetMode="External"/><Relationship Id="rId90" Type="http://schemas.openxmlformats.org/officeDocument/2006/relationships/hyperlink" Target="https://finance.yahoo.com/quote/SPY/options?strike=446&amp;straddle=false" TargetMode="External"/><Relationship Id="rId165" Type="http://schemas.openxmlformats.org/officeDocument/2006/relationships/hyperlink" Target="https://finance.yahoo.com/quote/SPY211029C00477500?p=SPY211029C00477500" TargetMode="External"/><Relationship Id="rId186" Type="http://schemas.openxmlformats.org/officeDocument/2006/relationships/hyperlink" Target="https://finance.yahoo.com/quote/SPY/options?strike=487&amp;straddle=false" TargetMode="External"/><Relationship Id="rId27" Type="http://schemas.openxmlformats.org/officeDocument/2006/relationships/hyperlink" Target="https://finance.yahoo.com/quote/SPY211029C00414000?p=SPY211029C00414000" TargetMode="External"/><Relationship Id="rId48" Type="http://schemas.openxmlformats.org/officeDocument/2006/relationships/hyperlink" Target="https://finance.yahoo.com/quote/SPY/options?strike=427&amp;straddle=false" TargetMode="External"/><Relationship Id="rId69" Type="http://schemas.openxmlformats.org/officeDocument/2006/relationships/hyperlink" Target="https://finance.yahoo.com/quote/SPY211029C00437500?p=SPY211029C00437500" TargetMode="External"/><Relationship Id="rId113" Type="http://schemas.openxmlformats.org/officeDocument/2006/relationships/hyperlink" Target="https://finance.yahoo.com/quote/SPY211029C00456000?p=SPY211029C00456000" TargetMode="External"/><Relationship Id="rId134" Type="http://schemas.openxmlformats.org/officeDocument/2006/relationships/hyperlink" Target="https://finance.yahoo.com/quote/SPY/options?strike=464&amp;straddle=false" TargetMode="External"/><Relationship Id="rId80" Type="http://schemas.openxmlformats.org/officeDocument/2006/relationships/hyperlink" Target="https://finance.yahoo.com/quote/SPY/options?strike=442&amp;straddle=false" TargetMode="External"/><Relationship Id="rId155" Type="http://schemas.openxmlformats.org/officeDocument/2006/relationships/hyperlink" Target="https://finance.yahoo.com/quote/SPY211029C00473000?p=SPY211029C00473000" TargetMode="External"/><Relationship Id="rId176" Type="http://schemas.openxmlformats.org/officeDocument/2006/relationships/hyperlink" Target="https://finance.yahoo.com/quote/SPY/options?strike=482.5&amp;straddle=false" TargetMode="External"/><Relationship Id="rId197" Type="http://schemas.openxmlformats.org/officeDocument/2006/relationships/hyperlink" Target="https://finance.yahoo.com/quote/SPY211029C00520000?p=SPY211029C00520000" TargetMode="External"/><Relationship Id="rId201" Type="http://schemas.openxmlformats.org/officeDocument/2006/relationships/printerSettings" Target="../printerSettings/printerSettings1.bin"/><Relationship Id="rId17" Type="http://schemas.openxmlformats.org/officeDocument/2006/relationships/hyperlink" Target="https://finance.yahoo.com/quote/SPY211029C00405000?p=SPY211029C00405000" TargetMode="External"/><Relationship Id="rId38" Type="http://schemas.openxmlformats.org/officeDocument/2006/relationships/hyperlink" Target="https://finance.yahoo.com/quote/SPY/options?strike=421&amp;straddle=false" TargetMode="External"/><Relationship Id="rId59" Type="http://schemas.openxmlformats.org/officeDocument/2006/relationships/hyperlink" Target="https://finance.yahoo.com/quote/SPY211029C00432500?p=SPY211029C00432500" TargetMode="External"/><Relationship Id="rId103" Type="http://schemas.openxmlformats.org/officeDocument/2006/relationships/hyperlink" Target="https://finance.yahoo.com/quote/SPY211029C00452000?p=SPY211029C00452000" TargetMode="External"/><Relationship Id="rId124" Type="http://schemas.openxmlformats.org/officeDocument/2006/relationships/hyperlink" Target="https://finance.yahoo.com/quote/SPY/options?strike=460&amp;straddle=false" TargetMode="External"/><Relationship Id="rId70" Type="http://schemas.openxmlformats.org/officeDocument/2006/relationships/hyperlink" Target="https://finance.yahoo.com/quote/SPY/options?strike=437.5&amp;straddle=false" TargetMode="External"/><Relationship Id="rId91" Type="http://schemas.openxmlformats.org/officeDocument/2006/relationships/hyperlink" Target="https://finance.yahoo.com/quote/SPY211029C00447000?p=SPY211029C00447000" TargetMode="External"/><Relationship Id="rId145" Type="http://schemas.openxmlformats.org/officeDocument/2006/relationships/hyperlink" Target="https://finance.yahoo.com/quote/SPY211029C00469000?p=SPY211029C00469000" TargetMode="External"/><Relationship Id="rId166" Type="http://schemas.openxmlformats.org/officeDocument/2006/relationships/hyperlink" Target="https://finance.yahoo.com/quote/SPY/options?strike=477.5&amp;straddle=false" TargetMode="External"/><Relationship Id="rId187" Type="http://schemas.openxmlformats.org/officeDocument/2006/relationships/hyperlink" Target="https://finance.yahoo.com/quote/SPY211029C00488000?p=SPY211029C00488000" TargetMode="External"/><Relationship Id="rId1" Type="http://schemas.openxmlformats.org/officeDocument/2006/relationships/hyperlink" Target="https://finance.yahoo.com/quote/SPY211029C00375000?p=SPY211029C00375000" TargetMode="External"/><Relationship Id="rId28" Type="http://schemas.openxmlformats.org/officeDocument/2006/relationships/hyperlink" Target="https://finance.yahoo.com/quote/SPY/options?strike=414&amp;straddle=false" TargetMode="External"/><Relationship Id="rId49" Type="http://schemas.openxmlformats.org/officeDocument/2006/relationships/hyperlink" Target="https://finance.yahoo.com/quote/SPY211029C00427500?p=SPY211029C00427500" TargetMode="External"/><Relationship Id="rId114" Type="http://schemas.openxmlformats.org/officeDocument/2006/relationships/hyperlink" Target="https://finance.yahoo.com/quote/SPY/options?strike=456&amp;straddle=false" TargetMode="External"/><Relationship Id="rId60" Type="http://schemas.openxmlformats.org/officeDocument/2006/relationships/hyperlink" Target="https://finance.yahoo.com/quote/SPY/options?strike=432.5&amp;straddle=false" TargetMode="External"/><Relationship Id="rId81" Type="http://schemas.openxmlformats.org/officeDocument/2006/relationships/hyperlink" Target="https://finance.yahoo.com/quote/SPY211029C00442500?p=SPY211029C00442500" TargetMode="External"/><Relationship Id="rId135" Type="http://schemas.openxmlformats.org/officeDocument/2006/relationships/hyperlink" Target="https://finance.yahoo.com/quote/SPY211029C00465000?p=SPY211029C00465000" TargetMode="External"/><Relationship Id="rId156" Type="http://schemas.openxmlformats.org/officeDocument/2006/relationships/hyperlink" Target="https://finance.yahoo.com/quote/SPY/options?strike=473&amp;straddle=false" TargetMode="External"/><Relationship Id="rId177" Type="http://schemas.openxmlformats.org/officeDocument/2006/relationships/hyperlink" Target="https://finance.yahoo.com/quote/SPY211029C00483000?p=SPY211029C00483000" TargetMode="External"/><Relationship Id="rId198" Type="http://schemas.openxmlformats.org/officeDocument/2006/relationships/hyperlink" Target="https://finance.yahoo.com/quote/SPY/options?strike=520&amp;straddle=false" TargetMode="External"/><Relationship Id="rId18" Type="http://schemas.openxmlformats.org/officeDocument/2006/relationships/hyperlink" Target="https://finance.yahoo.com/quote/SPY/options?strike=405&amp;straddle=false" TargetMode="External"/><Relationship Id="rId39" Type="http://schemas.openxmlformats.org/officeDocument/2006/relationships/hyperlink" Target="https://finance.yahoo.com/quote/SPY211029C00422500?p=SPY211029C00422500" TargetMode="External"/><Relationship Id="rId50" Type="http://schemas.openxmlformats.org/officeDocument/2006/relationships/hyperlink" Target="https://finance.yahoo.com/quote/SPY/options?strike=427.5&amp;straddle=false" TargetMode="External"/><Relationship Id="rId104" Type="http://schemas.openxmlformats.org/officeDocument/2006/relationships/hyperlink" Target="https://finance.yahoo.com/quote/SPY/options?strike=452&amp;straddle=false" TargetMode="External"/><Relationship Id="rId125" Type="http://schemas.openxmlformats.org/officeDocument/2006/relationships/hyperlink" Target="https://finance.yahoo.com/quote/SPY211029C00461000?p=SPY211029C00461000" TargetMode="External"/><Relationship Id="rId146" Type="http://schemas.openxmlformats.org/officeDocument/2006/relationships/hyperlink" Target="https://finance.yahoo.com/quote/SPY/options?strike=469&amp;straddle=false" TargetMode="External"/><Relationship Id="rId167" Type="http://schemas.openxmlformats.org/officeDocument/2006/relationships/hyperlink" Target="https://finance.yahoo.com/quote/SPY211029C00478000?p=SPY211029C00478000" TargetMode="External"/><Relationship Id="rId188" Type="http://schemas.openxmlformats.org/officeDocument/2006/relationships/hyperlink" Target="https://finance.yahoo.com/quote/SPY/options?strike=488&amp;straddle=false" TargetMode="External"/><Relationship Id="rId71" Type="http://schemas.openxmlformats.org/officeDocument/2006/relationships/hyperlink" Target="https://finance.yahoo.com/quote/SPY211029C00438000?p=SPY211029C00438000" TargetMode="External"/><Relationship Id="rId92" Type="http://schemas.openxmlformats.org/officeDocument/2006/relationships/hyperlink" Target="https://finance.yahoo.com/quote/SPY/options?strike=447&amp;straddle=false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yahoo.com/quote/SPY211029P00423000?p=SPY211029P00423000" TargetMode="External"/><Relationship Id="rId21" Type="http://schemas.openxmlformats.org/officeDocument/2006/relationships/hyperlink" Target="https://finance.yahoo.com/quote/SPY211029P00310000?p=SPY211029P00310000" TargetMode="External"/><Relationship Id="rId42" Type="http://schemas.openxmlformats.org/officeDocument/2006/relationships/hyperlink" Target="https://finance.yahoo.com/quote/SPY/options?strike=358&amp;straddle=false" TargetMode="External"/><Relationship Id="rId63" Type="http://schemas.openxmlformats.org/officeDocument/2006/relationships/hyperlink" Target="https://finance.yahoo.com/quote/SPY211029P00385000?p=SPY211029P00385000" TargetMode="External"/><Relationship Id="rId84" Type="http://schemas.openxmlformats.org/officeDocument/2006/relationships/hyperlink" Target="https://finance.yahoo.com/quote/SPY/options?strike=408&amp;straddle=false" TargetMode="External"/><Relationship Id="rId138" Type="http://schemas.openxmlformats.org/officeDocument/2006/relationships/hyperlink" Target="https://finance.yahoo.com/quote/SPY/options?strike=432&amp;straddle=false" TargetMode="External"/><Relationship Id="rId159" Type="http://schemas.openxmlformats.org/officeDocument/2006/relationships/hyperlink" Target="https://finance.yahoo.com/quote/SPY211029P00441000?p=SPY211029P00441000" TargetMode="External"/><Relationship Id="rId170" Type="http://schemas.openxmlformats.org/officeDocument/2006/relationships/hyperlink" Target="https://finance.yahoo.com/quote/SPY/options?strike=445&amp;straddle=false" TargetMode="External"/><Relationship Id="rId191" Type="http://schemas.openxmlformats.org/officeDocument/2006/relationships/hyperlink" Target="https://finance.yahoo.com/quote/SPY211029P00454000?p=SPY211029P00454000" TargetMode="External"/><Relationship Id="rId205" Type="http://schemas.openxmlformats.org/officeDocument/2006/relationships/hyperlink" Target="https://finance.yahoo.com/quote/SPY211029P00460000?p=SPY211029P00460000" TargetMode="External"/><Relationship Id="rId226" Type="http://schemas.openxmlformats.org/officeDocument/2006/relationships/hyperlink" Target="https://finance.yahoo.com/quote/SPY/options?strike=490&amp;straddle=false" TargetMode="External"/><Relationship Id="rId107" Type="http://schemas.openxmlformats.org/officeDocument/2006/relationships/hyperlink" Target="https://finance.yahoo.com/quote/SPY211029P00419000?p=SPY211029P00419000" TargetMode="External"/><Relationship Id="rId11" Type="http://schemas.openxmlformats.org/officeDocument/2006/relationships/hyperlink" Target="https://finance.yahoo.com/quote/SPY211029P00285000?p=SPY211029P00285000" TargetMode="External"/><Relationship Id="rId32" Type="http://schemas.openxmlformats.org/officeDocument/2006/relationships/hyperlink" Target="https://finance.yahoo.com/quote/SPY/options?strike=335&amp;straddle=false" TargetMode="External"/><Relationship Id="rId53" Type="http://schemas.openxmlformats.org/officeDocument/2006/relationships/hyperlink" Target="https://finance.yahoo.com/quote/SPY211029P00368000?p=SPY211029P00368000" TargetMode="External"/><Relationship Id="rId74" Type="http://schemas.openxmlformats.org/officeDocument/2006/relationships/hyperlink" Target="https://finance.yahoo.com/quote/SPY/options?strike=402&amp;straddle=false" TargetMode="External"/><Relationship Id="rId128" Type="http://schemas.openxmlformats.org/officeDocument/2006/relationships/hyperlink" Target="https://finance.yahoo.com/quote/SPY/options?strike=427.5&amp;straddle=false" TargetMode="External"/><Relationship Id="rId149" Type="http://schemas.openxmlformats.org/officeDocument/2006/relationships/hyperlink" Target="https://finance.yahoo.com/quote/SPY211029P00437000?p=SPY211029P00437000" TargetMode="External"/><Relationship Id="rId5" Type="http://schemas.openxmlformats.org/officeDocument/2006/relationships/hyperlink" Target="https://finance.yahoo.com/quote/SPY211029P00270000?p=SPY211029P00270000" TargetMode="External"/><Relationship Id="rId95" Type="http://schemas.openxmlformats.org/officeDocument/2006/relationships/hyperlink" Target="https://finance.yahoo.com/quote/SPY211029P00414000?p=SPY211029P00414000" TargetMode="External"/><Relationship Id="rId160" Type="http://schemas.openxmlformats.org/officeDocument/2006/relationships/hyperlink" Target="https://finance.yahoo.com/quote/SPY/options?strike=441&amp;straddle=false" TargetMode="External"/><Relationship Id="rId181" Type="http://schemas.openxmlformats.org/officeDocument/2006/relationships/hyperlink" Target="https://finance.yahoo.com/quote/SPY211029P00450000?p=SPY211029P00450000" TargetMode="External"/><Relationship Id="rId216" Type="http://schemas.openxmlformats.org/officeDocument/2006/relationships/hyperlink" Target="https://finance.yahoo.com/quote/SPY/options?strike=466&amp;straddle=false" TargetMode="External"/><Relationship Id="rId22" Type="http://schemas.openxmlformats.org/officeDocument/2006/relationships/hyperlink" Target="https://finance.yahoo.com/quote/SPY/options?strike=310&amp;straddle=false" TargetMode="External"/><Relationship Id="rId43" Type="http://schemas.openxmlformats.org/officeDocument/2006/relationships/hyperlink" Target="https://finance.yahoo.com/quote/SPY211029P00360000?p=SPY211029P00360000" TargetMode="External"/><Relationship Id="rId64" Type="http://schemas.openxmlformats.org/officeDocument/2006/relationships/hyperlink" Target="https://finance.yahoo.com/quote/SPY/options?strike=385&amp;straddle=false" TargetMode="External"/><Relationship Id="rId118" Type="http://schemas.openxmlformats.org/officeDocument/2006/relationships/hyperlink" Target="https://finance.yahoo.com/quote/SPY/options?strike=423&amp;straddle=false" TargetMode="External"/><Relationship Id="rId139" Type="http://schemas.openxmlformats.org/officeDocument/2006/relationships/hyperlink" Target="https://finance.yahoo.com/quote/SPY211029P00432500?p=SPY211029P00432500" TargetMode="External"/><Relationship Id="rId85" Type="http://schemas.openxmlformats.org/officeDocument/2006/relationships/hyperlink" Target="https://finance.yahoo.com/quote/SPY211029P00409000?p=SPY211029P00409000" TargetMode="External"/><Relationship Id="rId150" Type="http://schemas.openxmlformats.org/officeDocument/2006/relationships/hyperlink" Target="https://finance.yahoo.com/quote/SPY/options?strike=437&amp;straddle=false" TargetMode="External"/><Relationship Id="rId171" Type="http://schemas.openxmlformats.org/officeDocument/2006/relationships/hyperlink" Target="https://finance.yahoo.com/quote/SPY211029P00446000?p=SPY211029P00446000" TargetMode="External"/><Relationship Id="rId192" Type="http://schemas.openxmlformats.org/officeDocument/2006/relationships/hyperlink" Target="https://finance.yahoo.com/quote/SPY/options?strike=454&amp;straddle=false" TargetMode="External"/><Relationship Id="rId206" Type="http://schemas.openxmlformats.org/officeDocument/2006/relationships/hyperlink" Target="https://finance.yahoo.com/quote/SPY/options?strike=460&amp;straddle=false" TargetMode="External"/><Relationship Id="rId227" Type="http://schemas.openxmlformats.org/officeDocument/2006/relationships/hyperlink" Target="https://finance.yahoo.com/quote/SPY211029P00500000?p=SPY211029P00500000" TargetMode="External"/><Relationship Id="rId12" Type="http://schemas.openxmlformats.org/officeDocument/2006/relationships/hyperlink" Target="https://finance.yahoo.com/quote/SPY/options?strike=285&amp;straddle=false" TargetMode="External"/><Relationship Id="rId33" Type="http://schemas.openxmlformats.org/officeDocument/2006/relationships/hyperlink" Target="https://finance.yahoo.com/quote/SPY211029P00340000?p=SPY211029P00340000" TargetMode="External"/><Relationship Id="rId108" Type="http://schemas.openxmlformats.org/officeDocument/2006/relationships/hyperlink" Target="https://finance.yahoo.com/quote/SPY/options?strike=419&amp;straddle=false" TargetMode="External"/><Relationship Id="rId129" Type="http://schemas.openxmlformats.org/officeDocument/2006/relationships/hyperlink" Target="https://finance.yahoo.com/quote/SPY211029P00428000?p=SPY211029P00428000" TargetMode="External"/><Relationship Id="rId54" Type="http://schemas.openxmlformats.org/officeDocument/2006/relationships/hyperlink" Target="https://finance.yahoo.com/quote/SPY/options?strike=368&amp;straddle=false" TargetMode="External"/><Relationship Id="rId75" Type="http://schemas.openxmlformats.org/officeDocument/2006/relationships/hyperlink" Target="https://finance.yahoo.com/quote/SPY211029P00403000?p=SPY211029P00403000" TargetMode="External"/><Relationship Id="rId96" Type="http://schemas.openxmlformats.org/officeDocument/2006/relationships/hyperlink" Target="https://finance.yahoo.com/quote/SPY/options?strike=414&amp;straddle=false" TargetMode="External"/><Relationship Id="rId140" Type="http://schemas.openxmlformats.org/officeDocument/2006/relationships/hyperlink" Target="https://finance.yahoo.com/quote/SPY/options?strike=432.5&amp;straddle=false" TargetMode="External"/><Relationship Id="rId161" Type="http://schemas.openxmlformats.org/officeDocument/2006/relationships/hyperlink" Target="https://finance.yahoo.com/quote/SPY211029P00442000?p=SPY211029P00442000" TargetMode="External"/><Relationship Id="rId182" Type="http://schemas.openxmlformats.org/officeDocument/2006/relationships/hyperlink" Target="https://finance.yahoo.com/quote/SPY/options?strike=450&amp;straddle=false" TargetMode="External"/><Relationship Id="rId217" Type="http://schemas.openxmlformats.org/officeDocument/2006/relationships/hyperlink" Target="https://finance.yahoo.com/quote/SPY211029P00467500?p=SPY211029P00467500" TargetMode="External"/><Relationship Id="rId6" Type="http://schemas.openxmlformats.org/officeDocument/2006/relationships/hyperlink" Target="https://finance.yahoo.com/quote/SPY/options?strike=270&amp;straddle=false" TargetMode="External"/><Relationship Id="rId23" Type="http://schemas.openxmlformats.org/officeDocument/2006/relationships/hyperlink" Target="https://finance.yahoo.com/quote/SPY211029P00315000?p=SPY211029P00315000" TargetMode="External"/><Relationship Id="rId119" Type="http://schemas.openxmlformats.org/officeDocument/2006/relationships/hyperlink" Target="https://finance.yahoo.com/quote/SPY211029P00424000?p=SPY211029P00424000" TargetMode="External"/><Relationship Id="rId44" Type="http://schemas.openxmlformats.org/officeDocument/2006/relationships/hyperlink" Target="https://finance.yahoo.com/quote/SPY/options?strike=360&amp;straddle=false" TargetMode="External"/><Relationship Id="rId65" Type="http://schemas.openxmlformats.org/officeDocument/2006/relationships/hyperlink" Target="https://finance.yahoo.com/quote/SPY211029P00390000?p=SPY211029P00390000" TargetMode="External"/><Relationship Id="rId86" Type="http://schemas.openxmlformats.org/officeDocument/2006/relationships/hyperlink" Target="https://finance.yahoo.com/quote/SPY/options?strike=409&amp;straddle=false" TargetMode="External"/><Relationship Id="rId130" Type="http://schemas.openxmlformats.org/officeDocument/2006/relationships/hyperlink" Target="https://finance.yahoo.com/quote/SPY/options?strike=428&amp;straddle=false" TargetMode="External"/><Relationship Id="rId151" Type="http://schemas.openxmlformats.org/officeDocument/2006/relationships/hyperlink" Target="https://finance.yahoo.com/quote/SPY211029P00437500?p=SPY211029P00437500" TargetMode="External"/><Relationship Id="rId172" Type="http://schemas.openxmlformats.org/officeDocument/2006/relationships/hyperlink" Target="https://finance.yahoo.com/quote/SPY/options?strike=446&amp;straddle=false" TargetMode="External"/><Relationship Id="rId193" Type="http://schemas.openxmlformats.org/officeDocument/2006/relationships/hyperlink" Target="https://finance.yahoo.com/quote/SPY211029P00455000?p=SPY211029P00455000" TargetMode="External"/><Relationship Id="rId207" Type="http://schemas.openxmlformats.org/officeDocument/2006/relationships/hyperlink" Target="https://finance.yahoo.com/quote/SPY211029P00462000?p=SPY211029P00462000" TargetMode="External"/><Relationship Id="rId228" Type="http://schemas.openxmlformats.org/officeDocument/2006/relationships/hyperlink" Target="https://finance.yahoo.com/quote/SPY/options?strike=500&amp;straddle=false" TargetMode="External"/><Relationship Id="rId13" Type="http://schemas.openxmlformats.org/officeDocument/2006/relationships/hyperlink" Target="https://finance.yahoo.com/quote/SPY211029P00290000?p=SPY211029P00290000" TargetMode="External"/><Relationship Id="rId109" Type="http://schemas.openxmlformats.org/officeDocument/2006/relationships/hyperlink" Target="https://finance.yahoo.com/quote/SPY211029P00420000?p=SPY211029P00420000" TargetMode="External"/><Relationship Id="rId34" Type="http://schemas.openxmlformats.org/officeDocument/2006/relationships/hyperlink" Target="https://finance.yahoo.com/quote/SPY/options?strike=340&amp;straddle=false" TargetMode="External"/><Relationship Id="rId55" Type="http://schemas.openxmlformats.org/officeDocument/2006/relationships/hyperlink" Target="https://finance.yahoo.com/quote/SPY211029P00370000?p=SPY211029P00370000" TargetMode="External"/><Relationship Id="rId76" Type="http://schemas.openxmlformats.org/officeDocument/2006/relationships/hyperlink" Target="https://finance.yahoo.com/quote/SPY/options?strike=403&amp;straddle=false" TargetMode="External"/><Relationship Id="rId97" Type="http://schemas.openxmlformats.org/officeDocument/2006/relationships/hyperlink" Target="https://finance.yahoo.com/quote/SPY211029P00415000?p=SPY211029P00415000" TargetMode="External"/><Relationship Id="rId120" Type="http://schemas.openxmlformats.org/officeDocument/2006/relationships/hyperlink" Target="https://finance.yahoo.com/quote/SPY/options?strike=424&amp;straddle=false" TargetMode="External"/><Relationship Id="rId141" Type="http://schemas.openxmlformats.org/officeDocument/2006/relationships/hyperlink" Target="https://finance.yahoo.com/quote/SPY211029P00433000?p=SPY211029P00433000" TargetMode="External"/><Relationship Id="rId7" Type="http://schemas.openxmlformats.org/officeDocument/2006/relationships/hyperlink" Target="https://finance.yahoo.com/quote/SPY211029P00275000?p=SPY211029P00275000" TargetMode="External"/><Relationship Id="rId162" Type="http://schemas.openxmlformats.org/officeDocument/2006/relationships/hyperlink" Target="https://finance.yahoo.com/quote/SPY/options?strike=442&amp;straddle=false" TargetMode="External"/><Relationship Id="rId183" Type="http://schemas.openxmlformats.org/officeDocument/2006/relationships/hyperlink" Target="https://finance.yahoo.com/quote/SPY211029P00451000?p=SPY211029P00451000" TargetMode="External"/><Relationship Id="rId218" Type="http://schemas.openxmlformats.org/officeDocument/2006/relationships/hyperlink" Target="https://finance.yahoo.com/quote/SPY/options?strike=467.5&amp;straddle=false" TargetMode="External"/><Relationship Id="rId24" Type="http://schemas.openxmlformats.org/officeDocument/2006/relationships/hyperlink" Target="https://finance.yahoo.com/quote/SPY/options?strike=315&amp;straddle=false" TargetMode="External"/><Relationship Id="rId45" Type="http://schemas.openxmlformats.org/officeDocument/2006/relationships/hyperlink" Target="https://finance.yahoo.com/quote/SPY211029P00362000?p=SPY211029P00362000" TargetMode="External"/><Relationship Id="rId66" Type="http://schemas.openxmlformats.org/officeDocument/2006/relationships/hyperlink" Target="https://finance.yahoo.com/quote/SPY/options?strike=390&amp;straddle=false" TargetMode="External"/><Relationship Id="rId87" Type="http://schemas.openxmlformats.org/officeDocument/2006/relationships/hyperlink" Target="https://finance.yahoo.com/quote/SPY211029P00410000?p=SPY211029P00410000" TargetMode="External"/><Relationship Id="rId110" Type="http://schemas.openxmlformats.org/officeDocument/2006/relationships/hyperlink" Target="https://finance.yahoo.com/quote/SPY/options?strike=420&amp;straddle=false" TargetMode="External"/><Relationship Id="rId131" Type="http://schemas.openxmlformats.org/officeDocument/2006/relationships/hyperlink" Target="https://finance.yahoo.com/quote/SPY211029P00429000?p=SPY211029P00429000" TargetMode="External"/><Relationship Id="rId152" Type="http://schemas.openxmlformats.org/officeDocument/2006/relationships/hyperlink" Target="https://finance.yahoo.com/quote/SPY/options?strike=437.5&amp;straddle=false" TargetMode="External"/><Relationship Id="rId173" Type="http://schemas.openxmlformats.org/officeDocument/2006/relationships/hyperlink" Target="https://finance.yahoo.com/quote/SPY211029P00447000?p=SPY211029P00447000" TargetMode="External"/><Relationship Id="rId194" Type="http://schemas.openxmlformats.org/officeDocument/2006/relationships/hyperlink" Target="https://finance.yahoo.com/quote/SPY/options?strike=455&amp;straddle=false" TargetMode="External"/><Relationship Id="rId208" Type="http://schemas.openxmlformats.org/officeDocument/2006/relationships/hyperlink" Target="https://finance.yahoo.com/quote/SPY/options?strike=462&amp;straddle=false" TargetMode="External"/><Relationship Id="rId229" Type="http://schemas.openxmlformats.org/officeDocument/2006/relationships/drawing" Target="../drawings/drawing1.xml"/><Relationship Id="rId14" Type="http://schemas.openxmlformats.org/officeDocument/2006/relationships/hyperlink" Target="https://finance.yahoo.com/quote/SPY/options?strike=290&amp;straddle=false" TargetMode="External"/><Relationship Id="rId35" Type="http://schemas.openxmlformats.org/officeDocument/2006/relationships/hyperlink" Target="https://finance.yahoo.com/quote/SPY211029P00345000?p=SPY211029P00345000" TargetMode="External"/><Relationship Id="rId56" Type="http://schemas.openxmlformats.org/officeDocument/2006/relationships/hyperlink" Target="https://finance.yahoo.com/quote/SPY/options?strike=370&amp;straddle=false" TargetMode="External"/><Relationship Id="rId77" Type="http://schemas.openxmlformats.org/officeDocument/2006/relationships/hyperlink" Target="https://finance.yahoo.com/quote/SPY211029P00404000?p=SPY211029P00404000" TargetMode="External"/><Relationship Id="rId100" Type="http://schemas.openxmlformats.org/officeDocument/2006/relationships/hyperlink" Target="https://finance.yahoo.com/quote/SPY/options?strike=416&amp;straddle=false" TargetMode="External"/><Relationship Id="rId8" Type="http://schemas.openxmlformats.org/officeDocument/2006/relationships/hyperlink" Target="https://finance.yahoo.com/quote/SPY/options?strike=275&amp;straddle=false" TargetMode="External"/><Relationship Id="rId98" Type="http://schemas.openxmlformats.org/officeDocument/2006/relationships/hyperlink" Target="https://finance.yahoo.com/quote/SPY/options?strike=415&amp;straddle=false" TargetMode="External"/><Relationship Id="rId121" Type="http://schemas.openxmlformats.org/officeDocument/2006/relationships/hyperlink" Target="https://finance.yahoo.com/quote/SPY211029P00425000?p=SPY211029P00425000" TargetMode="External"/><Relationship Id="rId142" Type="http://schemas.openxmlformats.org/officeDocument/2006/relationships/hyperlink" Target="https://finance.yahoo.com/quote/SPY/options?strike=433&amp;straddle=false" TargetMode="External"/><Relationship Id="rId163" Type="http://schemas.openxmlformats.org/officeDocument/2006/relationships/hyperlink" Target="https://finance.yahoo.com/quote/SPY211029P00442500?p=SPY211029P00442500" TargetMode="External"/><Relationship Id="rId184" Type="http://schemas.openxmlformats.org/officeDocument/2006/relationships/hyperlink" Target="https://finance.yahoo.com/quote/SPY/options?strike=451&amp;straddle=false" TargetMode="External"/><Relationship Id="rId219" Type="http://schemas.openxmlformats.org/officeDocument/2006/relationships/hyperlink" Target="https://finance.yahoo.com/quote/SPY211029P00468000?p=SPY211029P00468000" TargetMode="External"/><Relationship Id="rId25" Type="http://schemas.openxmlformats.org/officeDocument/2006/relationships/hyperlink" Target="https://finance.yahoo.com/quote/SPY211029P00320000?p=SPY211029P00320000" TargetMode="External"/><Relationship Id="rId46" Type="http://schemas.openxmlformats.org/officeDocument/2006/relationships/hyperlink" Target="https://finance.yahoo.com/quote/SPY/options?strike=362&amp;straddle=false" TargetMode="External"/><Relationship Id="rId67" Type="http://schemas.openxmlformats.org/officeDocument/2006/relationships/hyperlink" Target="https://finance.yahoo.com/quote/SPY211029P00395000?p=SPY211029P00395000" TargetMode="External"/><Relationship Id="rId116" Type="http://schemas.openxmlformats.org/officeDocument/2006/relationships/hyperlink" Target="https://finance.yahoo.com/quote/SPY/options?strike=422.5&amp;straddle=false" TargetMode="External"/><Relationship Id="rId137" Type="http://schemas.openxmlformats.org/officeDocument/2006/relationships/hyperlink" Target="https://finance.yahoo.com/quote/SPY211029P00432000?p=SPY211029P00432000" TargetMode="External"/><Relationship Id="rId158" Type="http://schemas.openxmlformats.org/officeDocument/2006/relationships/hyperlink" Target="https://finance.yahoo.com/quote/SPY/options?strike=440&amp;straddle=false" TargetMode="External"/><Relationship Id="rId20" Type="http://schemas.openxmlformats.org/officeDocument/2006/relationships/hyperlink" Target="https://finance.yahoo.com/quote/SPY/options?strike=305&amp;straddle=false" TargetMode="External"/><Relationship Id="rId41" Type="http://schemas.openxmlformats.org/officeDocument/2006/relationships/hyperlink" Target="https://finance.yahoo.com/quote/SPY211029P00358000?p=SPY211029P00358000" TargetMode="External"/><Relationship Id="rId62" Type="http://schemas.openxmlformats.org/officeDocument/2006/relationships/hyperlink" Target="https://finance.yahoo.com/quote/SPY/options?strike=380&amp;straddle=false" TargetMode="External"/><Relationship Id="rId83" Type="http://schemas.openxmlformats.org/officeDocument/2006/relationships/hyperlink" Target="https://finance.yahoo.com/quote/SPY211029P00408000?p=SPY211029P00408000" TargetMode="External"/><Relationship Id="rId88" Type="http://schemas.openxmlformats.org/officeDocument/2006/relationships/hyperlink" Target="https://finance.yahoo.com/quote/SPY/options?strike=410&amp;straddle=false" TargetMode="External"/><Relationship Id="rId111" Type="http://schemas.openxmlformats.org/officeDocument/2006/relationships/hyperlink" Target="https://finance.yahoo.com/quote/SPY211029P00421000?p=SPY211029P00421000" TargetMode="External"/><Relationship Id="rId132" Type="http://schemas.openxmlformats.org/officeDocument/2006/relationships/hyperlink" Target="https://finance.yahoo.com/quote/SPY/options?strike=429&amp;straddle=false" TargetMode="External"/><Relationship Id="rId153" Type="http://schemas.openxmlformats.org/officeDocument/2006/relationships/hyperlink" Target="https://finance.yahoo.com/quote/SPY211029P00438000?p=SPY211029P00438000" TargetMode="External"/><Relationship Id="rId174" Type="http://schemas.openxmlformats.org/officeDocument/2006/relationships/hyperlink" Target="https://finance.yahoo.com/quote/SPY/options?strike=447&amp;straddle=false" TargetMode="External"/><Relationship Id="rId179" Type="http://schemas.openxmlformats.org/officeDocument/2006/relationships/hyperlink" Target="https://finance.yahoo.com/quote/SPY211029P00449000?p=SPY211029P00449000" TargetMode="External"/><Relationship Id="rId195" Type="http://schemas.openxmlformats.org/officeDocument/2006/relationships/hyperlink" Target="https://finance.yahoo.com/quote/SPY211029P00456000?p=SPY211029P00456000" TargetMode="External"/><Relationship Id="rId209" Type="http://schemas.openxmlformats.org/officeDocument/2006/relationships/hyperlink" Target="https://finance.yahoo.com/quote/SPY211029P00462500?p=SPY211029P00462500" TargetMode="External"/><Relationship Id="rId190" Type="http://schemas.openxmlformats.org/officeDocument/2006/relationships/hyperlink" Target="https://finance.yahoo.com/quote/SPY/options?strike=453&amp;straddle=false" TargetMode="External"/><Relationship Id="rId204" Type="http://schemas.openxmlformats.org/officeDocument/2006/relationships/hyperlink" Target="https://finance.yahoo.com/quote/SPY/options?strike=459&amp;straddle=false" TargetMode="External"/><Relationship Id="rId220" Type="http://schemas.openxmlformats.org/officeDocument/2006/relationships/hyperlink" Target="https://finance.yahoo.com/quote/SPY/options?strike=468&amp;straddle=false" TargetMode="External"/><Relationship Id="rId225" Type="http://schemas.openxmlformats.org/officeDocument/2006/relationships/hyperlink" Target="https://finance.yahoo.com/quote/SPY211029P00490000?p=SPY211029P00490000" TargetMode="External"/><Relationship Id="rId15" Type="http://schemas.openxmlformats.org/officeDocument/2006/relationships/hyperlink" Target="https://finance.yahoo.com/quote/SPY211029P00295000?p=SPY211029P00295000" TargetMode="External"/><Relationship Id="rId36" Type="http://schemas.openxmlformats.org/officeDocument/2006/relationships/hyperlink" Target="https://finance.yahoo.com/quote/SPY/options?strike=345&amp;straddle=false" TargetMode="External"/><Relationship Id="rId57" Type="http://schemas.openxmlformats.org/officeDocument/2006/relationships/hyperlink" Target="https://finance.yahoo.com/quote/SPY211029P00372000?p=SPY211029P00372000" TargetMode="External"/><Relationship Id="rId106" Type="http://schemas.openxmlformats.org/officeDocument/2006/relationships/hyperlink" Target="https://finance.yahoo.com/quote/SPY/options?strike=418&amp;straddle=false" TargetMode="External"/><Relationship Id="rId127" Type="http://schemas.openxmlformats.org/officeDocument/2006/relationships/hyperlink" Target="https://finance.yahoo.com/quote/SPY211029P00427500?p=SPY211029P00427500" TargetMode="External"/><Relationship Id="rId10" Type="http://schemas.openxmlformats.org/officeDocument/2006/relationships/hyperlink" Target="https://finance.yahoo.com/quote/SPY/options?strike=280&amp;straddle=false" TargetMode="External"/><Relationship Id="rId31" Type="http://schemas.openxmlformats.org/officeDocument/2006/relationships/hyperlink" Target="https://finance.yahoo.com/quote/SPY211029P00335000?p=SPY211029P00335000" TargetMode="External"/><Relationship Id="rId52" Type="http://schemas.openxmlformats.org/officeDocument/2006/relationships/hyperlink" Target="https://finance.yahoo.com/quote/SPY/options?strike=366&amp;straddle=false" TargetMode="External"/><Relationship Id="rId73" Type="http://schemas.openxmlformats.org/officeDocument/2006/relationships/hyperlink" Target="https://finance.yahoo.com/quote/SPY211029P00402000?p=SPY211029P00402000" TargetMode="External"/><Relationship Id="rId78" Type="http://schemas.openxmlformats.org/officeDocument/2006/relationships/hyperlink" Target="https://finance.yahoo.com/quote/SPY/options?strike=404&amp;straddle=false" TargetMode="External"/><Relationship Id="rId94" Type="http://schemas.openxmlformats.org/officeDocument/2006/relationships/hyperlink" Target="https://finance.yahoo.com/quote/SPY/options?strike=413&amp;straddle=false" TargetMode="External"/><Relationship Id="rId99" Type="http://schemas.openxmlformats.org/officeDocument/2006/relationships/hyperlink" Target="https://finance.yahoo.com/quote/SPY211029P00416000?p=SPY211029P00416000" TargetMode="External"/><Relationship Id="rId101" Type="http://schemas.openxmlformats.org/officeDocument/2006/relationships/hyperlink" Target="https://finance.yahoo.com/quote/SPY211029P00417000?p=SPY211029P00417000" TargetMode="External"/><Relationship Id="rId122" Type="http://schemas.openxmlformats.org/officeDocument/2006/relationships/hyperlink" Target="https://finance.yahoo.com/quote/SPY/options?strike=425&amp;straddle=false" TargetMode="External"/><Relationship Id="rId143" Type="http://schemas.openxmlformats.org/officeDocument/2006/relationships/hyperlink" Target="https://finance.yahoo.com/quote/SPY211029P00434000?p=SPY211029P00434000" TargetMode="External"/><Relationship Id="rId148" Type="http://schemas.openxmlformats.org/officeDocument/2006/relationships/hyperlink" Target="https://finance.yahoo.com/quote/SPY/options?strike=436&amp;straddle=false" TargetMode="External"/><Relationship Id="rId164" Type="http://schemas.openxmlformats.org/officeDocument/2006/relationships/hyperlink" Target="https://finance.yahoo.com/quote/SPY/options?strike=442.5&amp;straddle=false" TargetMode="External"/><Relationship Id="rId169" Type="http://schemas.openxmlformats.org/officeDocument/2006/relationships/hyperlink" Target="https://finance.yahoo.com/quote/SPY211029P00445000?p=SPY211029P00445000" TargetMode="External"/><Relationship Id="rId185" Type="http://schemas.openxmlformats.org/officeDocument/2006/relationships/hyperlink" Target="https://finance.yahoo.com/quote/SPY211029P00452000?p=SPY211029P00452000" TargetMode="External"/><Relationship Id="rId4" Type="http://schemas.openxmlformats.org/officeDocument/2006/relationships/hyperlink" Target="https://finance.yahoo.com/quote/SPY/options?strike=250&amp;straddle=false" TargetMode="External"/><Relationship Id="rId9" Type="http://schemas.openxmlformats.org/officeDocument/2006/relationships/hyperlink" Target="https://finance.yahoo.com/quote/SPY211029P00280000?p=SPY211029P00280000" TargetMode="External"/><Relationship Id="rId180" Type="http://schemas.openxmlformats.org/officeDocument/2006/relationships/hyperlink" Target="https://finance.yahoo.com/quote/SPY/options?strike=449&amp;straddle=false" TargetMode="External"/><Relationship Id="rId210" Type="http://schemas.openxmlformats.org/officeDocument/2006/relationships/hyperlink" Target="https://finance.yahoo.com/quote/SPY/options?strike=462.5&amp;straddle=false" TargetMode="External"/><Relationship Id="rId215" Type="http://schemas.openxmlformats.org/officeDocument/2006/relationships/hyperlink" Target="https://finance.yahoo.com/quote/SPY211029P00466000?p=SPY211029P00466000" TargetMode="External"/><Relationship Id="rId26" Type="http://schemas.openxmlformats.org/officeDocument/2006/relationships/hyperlink" Target="https://finance.yahoo.com/quote/SPY/options?strike=320&amp;straddle=false" TargetMode="External"/><Relationship Id="rId47" Type="http://schemas.openxmlformats.org/officeDocument/2006/relationships/hyperlink" Target="https://finance.yahoo.com/quote/SPY211029P00364000?p=SPY211029P00364000" TargetMode="External"/><Relationship Id="rId68" Type="http://schemas.openxmlformats.org/officeDocument/2006/relationships/hyperlink" Target="https://finance.yahoo.com/quote/SPY/options?strike=395&amp;straddle=false" TargetMode="External"/><Relationship Id="rId89" Type="http://schemas.openxmlformats.org/officeDocument/2006/relationships/hyperlink" Target="https://finance.yahoo.com/quote/SPY211029P00411000?p=SPY211029P00411000" TargetMode="External"/><Relationship Id="rId112" Type="http://schemas.openxmlformats.org/officeDocument/2006/relationships/hyperlink" Target="https://finance.yahoo.com/quote/SPY/options?strike=421&amp;straddle=false" TargetMode="External"/><Relationship Id="rId133" Type="http://schemas.openxmlformats.org/officeDocument/2006/relationships/hyperlink" Target="https://finance.yahoo.com/quote/SPY211029P00430000?p=SPY211029P00430000" TargetMode="External"/><Relationship Id="rId154" Type="http://schemas.openxmlformats.org/officeDocument/2006/relationships/hyperlink" Target="https://finance.yahoo.com/quote/SPY/options?strike=438&amp;straddle=false" TargetMode="External"/><Relationship Id="rId175" Type="http://schemas.openxmlformats.org/officeDocument/2006/relationships/hyperlink" Target="https://finance.yahoo.com/quote/SPY211029P00447500?p=SPY211029P00447500" TargetMode="External"/><Relationship Id="rId196" Type="http://schemas.openxmlformats.org/officeDocument/2006/relationships/hyperlink" Target="https://finance.yahoo.com/quote/SPY/options?strike=456&amp;straddle=false" TargetMode="External"/><Relationship Id="rId200" Type="http://schemas.openxmlformats.org/officeDocument/2006/relationships/hyperlink" Target="https://finance.yahoo.com/quote/SPY/options?strike=457.5&amp;straddle=false" TargetMode="External"/><Relationship Id="rId16" Type="http://schemas.openxmlformats.org/officeDocument/2006/relationships/hyperlink" Target="https://finance.yahoo.com/quote/SPY/options?strike=295&amp;straddle=false" TargetMode="External"/><Relationship Id="rId221" Type="http://schemas.openxmlformats.org/officeDocument/2006/relationships/hyperlink" Target="https://finance.yahoo.com/quote/SPY211029P00470000?p=SPY211029P00470000" TargetMode="External"/><Relationship Id="rId37" Type="http://schemas.openxmlformats.org/officeDocument/2006/relationships/hyperlink" Target="https://finance.yahoo.com/quote/SPY211029P00350000?p=SPY211029P00350000" TargetMode="External"/><Relationship Id="rId58" Type="http://schemas.openxmlformats.org/officeDocument/2006/relationships/hyperlink" Target="https://finance.yahoo.com/quote/SPY/options?strike=372&amp;straddle=false" TargetMode="External"/><Relationship Id="rId79" Type="http://schemas.openxmlformats.org/officeDocument/2006/relationships/hyperlink" Target="https://finance.yahoo.com/quote/SPY211029P00405000?p=SPY211029P00405000" TargetMode="External"/><Relationship Id="rId102" Type="http://schemas.openxmlformats.org/officeDocument/2006/relationships/hyperlink" Target="https://finance.yahoo.com/quote/SPY/options?strike=417&amp;straddle=false" TargetMode="External"/><Relationship Id="rId123" Type="http://schemas.openxmlformats.org/officeDocument/2006/relationships/hyperlink" Target="https://finance.yahoo.com/quote/SPY211029P00426000?p=SPY211029P00426000" TargetMode="External"/><Relationship Id="rId144" Type="http://schemas.openxmlformats.org/officeDocument/2006/relationships/hyperlink" Target="https://finance.yahoo.com/quote/SPY/options?strike=434&amp;straddle=false" TargetMode="External"/><Relationship Id="rId90" Type="http://schemas.openxmlformats.org/officeDocument/2006/relationships/hyperlink" Target="https://finance.yahoo.com/quote/SPY/options?strike=411&amp;straddle=false" TargetMode="External"/><Relationship Id="rId165" Type="http://schemas.openxmlformats.org/officeDocument/2006/relationships/hyperlink" Target="https://finance.yahoo.com/quote/SPY211029P00443000?p=SPY211029P00443000" TargetMode="External"/><Relationship Id="rId186" Type="http://schemas.openxmlformats.org/officeDocument/2006/relationships/hyperlink" Target="https://finance.yahoo.com/quote/SPY/options?strike=452&amp;straddle=false" TargetMode="External"/><Relationship Id="rId211" Type="http://schemas.openxmlformats.org/officeDocument/2006/relationships/hyperlink" Target="https://finance.yahoo.com/quote/SPY211029P00464000?p=SPY211029P00464000" TargetMode="External"/><Relationship Id="rId27" Type="http://schemas.openxmlformats.org/officeDocument/2006/relationships/hyperlink" Target="https://finance.yahoo.com/quote/SPY211029P00325000?p=SPY211029P00325000" TargetMode="External"/><Relationship Id="rId48" Type="http://schemas.openxmlformats.org/officeDocument/2006/relationships/hyperlink" Target="https://finance.yahoo.com/quote/SPY/options?strike=364&amp;straddle=false" TargetMode="External"/><Relationship Id="rId69" Type="http://schemas.openxmlformats.org/officeDocument/2006/relationships/hyperlink" Target="https://finance.yahoo.com/quote/SPY211029P00398000?p=SPY211029P00398000" TargetMode="External"/><Relationship Id="rId113" Type="http://schemas.openxmlformats.org/officeDocument/2006/relationships/hyperlink" Target="https://finance.yahoo.com/quote/SPY211029P00422000?p=SPY211029P00422000" TargetMode="External"/><Relationship Id="rId134" Type="http://schemas.openxmlformats.org/officeDocument/2006/relationships/hyperlink" Target="https://finance.yahoo.com/quote/SPY/options?strike=430&amp;straddle=false" TargetMode="External"/><Relationship Id="rId80" Type="http://schemas.openxmlformats.org/officeDocument/2006/relationships/hyperlink" Target="https://finance.yahoo.com/quote/SPY/options?strike=405&amp;straddle=false" TargetMode="External"/><Relationship Id="rId155" Type="http://schemas.openxmlformats.org/officeDocument/2006/relationships/hyperlink" Target="https://finance.yahoo.com/quote/SPY211029P00439000?p=SPY211029P00439000" TargetMode="External"/><Relationship Id="rId176" Type="http://schemas.openxmlformats.org/officeDocument/2006/relationships/hyperlink" Target="https://finance.yahoo.com/quote/SPY/options?strike=447.5&amp;straddle=false" TargetMode="External"/><Relationship Id="rId197" Type="http://schemas.openxmlformats.org/officeDocument/2006/relationships/hyperlink" Target="https://finance.yahoo.com/quote/SPY211029P00457000?p=SPY211029P00457000" TargetMode="External"/><Relationship Id="rId201" Type="http://schemas.openxmlformats.org/officeDocument/2006/relationships/hyperlink" Target="https://finance.yahoo.com/quote/SPY211029P00458000?p=SPY211029P00458000" TargetMode="External"/><Relationship Id="rId222" Type="http://schemas.openxmlformats.org/officeDocument/2006/relationships/hyperlink" Target="https://finance.yahoo.com/quote/SPY/options?strike=470&amp;straddle=false" TargetMode="External"/><Relationship Id="rId17" Type="http://schemas.openxmlformats.org/officeDocument/2006/relationships/hyperlink" Target="https://finance.yahoo.com/quote/SPY211029P00300000?p=SPY211029P00300000" TargetMode="External"/><Relationship Id="rId38" Type="http://schemas.openxmlformats.org/officeDocument/2006/relationships/hyperlink" Target="https://finance.yahoo.com/quote/SPY/options?strike=350&amp;straddle=false" TargetMode="External"/><Relationship Id="rId59" Type="http://schemas.openxmlformats.org/officeDocument/2006/relationships/hyperlink" Target="https://finance.yahoo.com/quote/SPY211029P00375000?p=SPY211029P00375000" TargetMode="External"/><Relationship Id="rId103" Type="http://schemas.openxmlformats.org/officeDocument/2006/relationships/hyperlink" Target="https://finance.yahoo.com/quote/SPY211029P00417500?p=SPY211029P00417500" TargetMode="External"/><Relationship Id="rId124" Type="http://schemas.openxmlformats.org/officeDocument/2006/relationships/hyperlink" Target="https://finance.yahoo.com/quote/SPY/options?strike=426&amp;straddle=false" TargetMode="External"/><Relationship Id="rId70" Type="http://schemas.openxmlformats.org/officeDocument/2006/relationships/hyperlink" Target="https://finance.yahoo.com/quote/SPY/options?strike=398&amp;straddle=false" TargetMode="External"/><Relationship Id="rId91" Type="http://schemas.openxmlformats.org/officeDocument/2006/relationships/hyperlink" Target="https://finance.yahoo.com/quote/SPY211029P00412000?p=SPY211029P00412000" TargetMode="External"/><Relationship Id="rId145" Type="http://schemas.openxmlformats.org/officeDocument/2006/relationships/hyperlink" Target="https://finance.yahoo.com/quote/SPY211029P00435000?p=SPY211029P00435000" TargetMode="External"/><Relationship Id="rId166" Type="http://schemas.openxmlformats.org/officeDocument/2006/relationships/hyperlink" Target="https://finance.yahoo.com/quote/SPY/options?strike=443&amp;straddle=false" TargetMode="External"/><Relationship Id="rId187" Type="http://schemas.openxmlformats.org/officeDocument/2006/relationships/hyperlink" Target="https://finance.yahoo.com/quote/SPY211029P00452500?p=SPY211029P00452500" TargetMode="External"/><Relationship Id="rId1" Type="http://schemas.openxmlformats.org/officeDocument/2006/relationships/hyperlink" Target="https://finance.yahoo.com/quote/SPY211029P00240000?p=SPY211029P00240000" TargetMode="External"/><Relationship Id="rId212" Type="http://schemas.openxmlformats.org/officeDocument/2006/relationships/hyperlink" Target="https://finance.yahoo.com/quote/SPY/options?strike=464&amp;straddle=false" TargetMode="External"/><Relationship Id="rId28" Type="http://schemas.openxmlformats.org/officeDocument/2006/relationships/hyperlink" Target="https://finance.yahoo.com/quote/SPY/options?strike=325&amp;straddle=false" TargetMode="External"/><Relationship Id="rId49" Type="http://schemas.openxmlformats.org/officeDocument/2006/relationships/hyperlink" Target="https://finance.yahoo.com/quote/SPY211029P00365000?p=SPY211029P00365000" TargetMode="External"/><Relationship Id="rId114" Type="http://schemas.openxmlformats.org/officeDocument/2006/relationships/hyperlink" Target="https://finance.yahoo.com/quote/SPY/options?strike=422&amp;straddle=false" TargetMode="External"/><Relationship Id="rId60" Type="http://schemas.openxmlformats.org/officeDocument/2006/relationships/hyperlink" Target="https://finance.yahoo.com/quote/SPY/options?strike=375&amp;straddle=false" TargetMode="External"/><Relationship Id="rId81" Type="http://schemas.openxmlformats.org/officeDocument/2006/relationships/hyperlink" Target="https://finance.yahoo.com/quote/SPY211029P00406000?p=SPY211029P00406000" TargetMode="External"/><Relationship Id="rId135" Type="http://schemas.openxmlformats.org/officeDocument/2006/relationships/hyperlink" Target="https://finance.yahoo.com/quote/SPY211029P00431000?p=SPY211029P00431000" TargetMode="External"/><Relationship Id="rId156" Type="http://schemas.openxmlformats.org/officeDocument/2006/relationships/hyperlink" Target="https://finance.yahoo.com/quote/SPY/options?strike=439&amp;straddle=false" TargetMode="External"/><Relationship Id="rId177" Type="http://schemas.openxmlformats.org/officeDocument/2006/relationships/hyperlink" Target="https://finance.yahoo.com/quote/SPY211029P00448000?p=SPY211029P00448000" TargetMode="External"/><Relationship Id="rId198" Type="http://schemas.openxmlformats.org/officeDocument/2006/relationships/hyperlink" Target="https://finance.yahoo.com/quote/SPY/options?strike=457&amp;straddle=false" TargetMode="External"/><Relationship Id="rId202" Type="http://schemas.openxmlformats.org/officeDocument/2006/relationships/hyperlink" Target="https://finance.yahoo.com/quote/SPY/options?strike=458&amp;straddle=false" TargetMode="External"/><Relationship Id="rId223" Type="http://schemas.openxmlformats.org/officeDocument/2006/relationships/hyperlink" Target="https://finance.yahoo.com/quote/SPY211029P00480000?p=SPY211029P00480000" TargetMode="External"/><Relationship Id="rId18" Type="http://schemas.openxmlformats.org/officeDocument/2006/relationships/hyperlink" Target="https://finance.yahoo.com/quote/SPY/options?strike=300&amp;straddle=false" TargetMode="External"/><Relationship Id="rId39" Type="http://schemas.openxmlformats.org/officeDocument/2006/relationships/hyperlink" Target="https://finance.yahoo.com/quote/SPY211029P00355000?p=SPY211029P00355000" TargetMode="External"/><Relationship Id="rId50" Type="http://schemas.openxmlformats.org/officeDocument/2006/relationships/hyperlink" Target="https://finance.yahoo.com/quote/SPY/options?strike=365&amp;straddle=false" TargetMode="External"/><Relationship Id="rId104" Type="http://schemas.openxmlformats.org/officeDocument/2006/relationships/hyperlink" Target="https://finance.yahoo.com/quote/SPY/options?strike=417.5&amp;straddle=false" TargetMode="External"/><Relationship Id="rId125" Type="http://schemas.openxmlformats.org/officeDocument/2006/relationships/hyperlink" Target="https://finance.yahoo.com/quote/SPY211029P00427000?p=SPY211029P00427000" TargetMode="External"/><Relationship Id="rId146" Type="http://schemas.openxmlformats.org/officeDocument/2006/relationships/hyperlink" Target="https://finance.yahoo.com/quote/SPY/options?strike=435&amp;straddle=false" TargetMode="External"/><Relationship Id="rId167" Type="http://schemas.openxmlformats.org/officeDocument/2006/relationships/hyperlink" Target="https://finance.yahoo.com/quote/SPY211029P00444000?p=SPY211029P00444000" TargetMode="External"/><Relationship Id="rId188" Type="http://schemas.openxmlformats.org/officeDocument/2006/relationships/hyperlink" Target="https://finance.yahoo.com/quote/SPY/options?strike=452.5&amp;straddle=false" TargetMode="External"/><Relationship Id="rId71" Type="http://schemas.openxmlformats.org/officeDocument/2006/relationships/hyperlink" Target="https://finance.yahoo.com/quote/SPY211029P00400000?p=SPY211029P00400000" TargetMode="External"/><Relationship Id="rId92" Type="http://schemas.openxmlformats.org/officeDocument/2006/relationships/hyperlink" Target="https://finance.yahoo.com/quote/SPY/options?strike=412&amp;straddle=false" TargetMode="External"/><Relationship Id="rId213" Type="http://schemas.openxmlformats.org/officeDocument/2006/relationships/hyperlink" Target="https://finance.yahoo.com/quote/SPY211029P00465000?p=SPY211029P00465000" TargetMode="External"/><Relationship Id="rId2" Type="http://schemas.openxmlformats.org/officeDocument/2006/relationships/hyperlink" Target="https://finance.yahoo.com/quote/SPY/options?strike=240&amp;straddle=false" TargetMode="External"/><Relationship Id="rId29" Type="http://schemas.openxmlformats.org/officeDocument/2006/relationships/hyperlink" Target="https://finance.yahoo.com/quote/SPY211029P00330000?p=SPY211029P00330000" TargetMode="External"/><Relationship Id="rId40" Type="http://schemas.openxmlformats.org/officeDocument/2006/relationships/hyperlink" Target="https://finance.yahoo.com/quote/SPY/options?strike=355&amp;straddle=false" TargetMode="External"/><Relationship Id="rId115" Type="http://schemas.openxmlformats.org/officeDocument/2006/relationships/hyperlink" Target="https://finance.yahoo.com/quote/SPY211029P00422500?p=SPY211029P00422500" TargetMode="External"/><Relationship Id="rId136" Type="http://schemas.openxmlformats.org/officeDocument/2006/relationships/hyperlink" Target="https://finance.yahoo.com/quote/SPY/options?strike=431&amp;straddle=false" TargetMode="External"/><Relationship Id="rId157" Type="http://schemas.openxmlformats.org/officeDocument/2006/relationships/hyperlink" Target="https://finance.yahoo.com/quote/SPY211029P00440000?p=SPY211029P00440000" TargetMode="External"/><Relationship Id="rId178" Type="http://schemas.openxmlformats.org/officeDocument/2006/relationships/hyperlink" Target="https://finance.yahoo.com/quote/SPY/options?strike=448&amp;straddle=false" TargetMode="External"/><Relationship Id="rId61" Type="http://schemas.openxmlformats.org/officeDocument/2006/relationships/hyperlink" Target="https://finance.yahoo.com/quote/SPY211029P00380000?p=SPY211029P00380000" TargetMode="External"/><Relationship Id="rId82" Type="http://schemas.openxmlformats.org/officeDocument/2006/relationships/hyperlink" Target="https://finance.yahoo.com/quote/SPY/options?strike=406&amp;straddle=false" TargetMode="External"/><Relationship Id="rId199" Type="http://schemas.openxmlformats.org/officeDocument/2006/relationships/hyperlink" Target="https://finance.yahoo.com/quote/SPY211029P00457500?p=SPY211029P00457500" TargetMode="External"/><Relationship Id="rId203" Type="http://schemas.openxmlformats.org/officeDocument/2006/relationships/hyperlink" Target="https://finance.yahoo.com/quote/SPY211029P00459000?p=SPY211029P00459000" TargetMode="External"/><Relationship Id="rId19" Type="http://schemas.openxmlformats.org/officeDocument/2006/relationships/hyperlink" Target="https://finance.yahoo.com/quote/SPY211029P00305000?p=SPY211029P00305000" TargetMode="External"/><Relationship Id="rId224" Type="http://schemas.openxmlformats.org/officeDocument/2006/relationships/hyperlink" Target="https://finance.yahoo.com/quote/SPY/options?strike=480&amp;straddle=false" TargetMode="External"/><Relationship Id="rId30" Type="http://schemas.openxmlformats.org/officeDocument/2006/relationships/hyperlink" Target="https://finance.yahoo.com/quote/SPY/options?strike=330&amp;straddle=false" TargetMode="External"/><Relationship Id="rId105" Type="http://schemas.openxmlformats.org/officeDocument/2006/relationships/hyperlink" Target="https://finance.yahoo.com/quote/SPY211029P00418000?p=SPY211029P00418000" TargetMode="External"/><Relationship Id="rId126" Type="http://schemas.openxmlformats.org/officeDocument/2006/relationships/hyperlink" Target="https://finance.yahoo.com/quote/SPY/options?strike=427&amp;straddle=false" TargetMode="External"/><Relationship Id="rId147" Type="http://schemas.openxmlformats.org/officeDocument/2006/relationships/hyperlink" Target="https://finance.yahoo.com/quote/SPY211029P00436000?p=SPY211029P00436000" TargetMode="External"/><Relationship Id="rId168" Type="http://schemas.openxmlformats.org/officeDocument/2006/relationships/hyperlink" Target="https://finance.yahoo.com/quote/SPY/options?strike=444&amp;straddle=false" TargetMode="External"/><Relationship Id="rId51" Type="http://schemas.openxmlformats.org/officeDocument/2006/relationships/hyperlink" Target="https://finance.yahoo.com/quote/SPY211029P00366000?p=SPY211029P00366000" TargetMode="External"/><Relationship Id="rId72" Type="http://schemas.openxmlformats.org/officeDocument/2006/relationships/hyperlink" Target="https://finance.yahoo.com/quote/SPY/options?strike=400&amp;straddle=false" TargetMode="External"/><Relationship Id="rId93" Type="http://schemas.openxmlformats.org/officeDocument/2006/relationships/hyperlink" Target="https://finance.yahoo.com/quote/SPY211029P00413000?p=SPY211029P00413000" TargetMode="External"/><Relationship Id="rId189" Type="http://schemas.openxmlformats.org/officeDocument/2006/relationships/hyperlink" Target="https://finance.yahoo.com/quote/SPY211029P00453000?p=SPY211029P00453000" TargetMode="External"/><Relationship Id="rId3" Type="http://schemas.openxmlformats.org/officeDocument/2006/relationships/hyperlink" Target="https://finance.yahoo.com/quote/SPY211029P00250000?p=SPY211029P00250000" TargetMode="External"/><Relationship Id="rId214" Type="http://schemas.openxmlformats.org/officeDocument/2006/relationships/hyperlink" Target="https://finance.yahoo.com/quote/SPY/options?strike=465&amp;straddle=false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yahoo.com/quote/SPY211029C00457500?p=SPY211029C00457500" TargetMode="External"/><Relationship Id="rId299" Type="http://schemas.openxmlformats.org/officeDocument/2006/relationships/hyperlink" Target="https://finance.yahoo.com/quote/SPY211029P00416000?p=SPY211029P00416000" TargetMode="External"/><Relationship Id="rId21" Type="http://schemas.openxmlformats.org/officeDocument/2006/relationships/hyperlink" Target="https://finance.yahoo.com/quote/SPY211029C00408000?p=SPY211029C00408000" TargetMode="External"/><Relationship Id="rId63" Type="http://schemas.openxmlformats.org/officeDocument/2006/relationships/hyperlink" Target="https://finance.yahoo.com/quote/SPY211029C00435000?p=SPY211029C00435000" TargetMode="External"/><Relationship Id="rId159" Type="http://schemas.openxmlformats.org/officeDocument/2006/relationships/hyperlink" Target="https://finance.yahoo.com/quote/SPY211029C00475000?p=SPY211029C00475000" TargetMode="External"/><Relationship Id="rId324" Type="http://schemas.openxmlformats.org/officeDocument/2006/relationships/hyperlink" Target="https://finance.yahoo.com/quote/SPY/options?strike=426&amp;straddle=false" TargetMode="External"/><Relationship Id="rId366" Type="http://schemas.openxmlformats.org/officeDocument/2006/relationships/hyperlink" Target="https://finance.yahoo.com/quote/SPY/options?strike=443&amp;straddle=false" TargetMode="External"/><Relationship Id="rId170" Type="http://schemas.openxmlformats.org/officeDocument/2006/relationships/hyperlink" Target="https://finance.yahoo.com/quote/SPY/options?strike=479&amp;straddle=false" TargetMode="External"/><Relationship Id="rId226" Type="http://schemas.openxmlformats.org/officeDocument/2006/relationships/hyperlink" Target="https://finance.yahoo.com/quote/SPY/options?strike=320&amp;straddle=false" TargetMode="External"/><Relationship Id="rId268" Type="http://schemas.openxmlformats.org/officeDocument/2006/relationships/hyperlink" Target="https://finance.yahoo.com/quote/SPY/options?strike=395&amp;straddle=false" TargetMode="External"/><Relationship Id="rId32" Type="http://schemas.openxmlformats.org/officeDocument/2006/relationships/hyperlink" Target="https://finance.yahoo.com/quote/SPY/options?strike=416&amp;straddle=false" TargetMode="External"/><Relationship Id="rId74" Type="http://schemas.openxmlformats.org/officeDocument/2006/relationships/hyperlink" Target="https://finance.yahoo.com/quote/SPY/options?strike=439&amp;straddle=false" TargetMode="External"/><Relationship Id="rId128" Type="http://schemas.openxmlformats.org/officeDocument/2006/relationships/hyperlink" Target="https://finance.yahoo.com/quote/SPY/options?strike=462&amp;straddle=false" TargetMode="External"/><Relationship Id="rId335" Type="http://schemas.openxmlformats.org/officeDocument/2006/relationships/hyperlink" Target="https://finance.yahoo.com/quote/SPY211029P00431000?p=SPY211029P00431000" TargetMode="External"/><Relationship Id="rId377" Type="http://schemas.openxmlformats.org/officeDocument/2006/relationships/hyperlink" Target="https://finance.yahoo.com/quote/SPY211029P00448000?p=SPY211029P00448000" TargetMode="External"/><Relationship Id="rId5" Type="http://schemas.openxmlformats.org/officeDocument/2006/relationships/hyperlink" Target="https://finance.yahoo.com/quote/SPY211029C00385000?p=SPY211029C00385000" TargetMode="External"/><Relationship Id="rId181" Type="http://schemas.openxmlformats.org/officeDocument/2006/relationships/hyperlink" Target="https://finance.yahoo.com/quote/SPY211029C00485000?p=SPY211029C00485000" TargetMode="External"/><Relationship Id="rId237" Type="http://schemas.openxmlformats.org/officeDocument/2006/relationships/hyperlink" Target="https://finance.yahoo.com/quote/SPY211029P00350000?p=SPY211029P00350000" TargetMode="External"/><Relationship Id="rId402" Type="http://schemas.openxmlformats.org/officeDocument/2006/relationships/hyperlink" Target="https://finance.yahoo.com/quote/SPY/options?strike=458&amp;straddle=false" TargetMode="External"/><Relationship Id="rId279" Type="http://schemas.openxmlformats.org/officeDocument/2006/relationships/hyperlink" Target="https://finance.yahoo.com/quote/SPY211029P00405000?p=SPY211029P00405000" TargetMode="External"/><Relationship Id="rId43" Type="http://schemas.openxmlformats.org/officeDocument/2006/relationships/hyperlink" Target="https://finance.yahoo.com/quote/SPY211029C00425000?p=SPY211029C00425000" TargetMode="External"/><Relationship Id="rId139" Type="http://schemas.openxmlformats.org/officeDocument/2006/relationships/hyperlink" Target="https://finance.yahoo.com/quote/SPY211029C00467000?p=SPY211029C00467000" TargetMode="External"/><Relationship Id="rId290" Type="http://schemas.openxmlformats.org/officeDocument/2006/relationships/hyperlink" Target="https://finance.yahoo.com/quote/SPY/options?strike=411&amp;straddle=false" TargetMode="External"/><Relationship Id="rId304" Type="http://schemas.openxmlformats.org/officeDocument/2006/relationships/hyperlink" Target="https://finance.yahoo.com/quote/SPY/options?strike=417.5&amp;straddle=false" TargetMode="External"/><Relationship Id="rId346" Type="http://schemas.openxmlformats.org/officeDocument/2006/relationships/hyperlink" Target="https://finance.yahoo.com/quote/SPY/options?strike=435&amp;straddle=false" TargetMode="External"/><Relationship Id="rId388" Type="http://schemas.openxmlformats.org/officeDocument/2006/relationships/hyperlink" Target="https://finance.yahoo.com/quote/SPY/options?strike=452.5&amp;straddle=false" TargetMode="External"/><Relationship Id="rId85" Type="http://schemas.openxmlformats.org/officeDocument/2006/relationships/hyperlink" Target="https://finance.yahoo.com/quote/SPY211029C00444000?p=SPY211029C00444000" TargetMode="External"/><Relationship Id="rId150" Type="http://schemas.openxmlformats.org/officeDocument/2006/relationships/hyperlink" Target="https://finance.yahoo.com/quote/SPY/options?strike=471&amp;straddle=false" TargetMode="External"/><Relationship Id="rId192" Type="http://schemas.openxmlformats.org/officeDocument/2006/relationships/hyperlink" Target="https://finance.yahoo.com/quote/SPY/options?strike=495&amp;straddle=false" TargetMode="External"/><Relationship Id="rId206" Type="http://schemas.openxmlformats.org/officeDocument/2006/relationships/hyperlink" Target="https://finance.yahoo.com/quote/SPY/options?strike=270&amp;straddle=false" TargetMode="External"/><Relationship Id="rId413" Type="http://schemas.openxmlformats.org/officeDocument/2006/relationships/hyperlink" Target="https://finance.yahoo.com/quote/SPY211029P00465000?p=SPY211029P00465000" TargetMode="External"/><Relationship Id="rId248" Type="http://schemas.openxmlformats.org/officeDocument/2006/relationships/hyperlink" Target="https://finance.yahoo.com/quote/SPY/options?strike=364&amp;straddle=false" TargetMode="External"/><Relationship Id="rId12" Type="http://schemas.openxmlformats.org/officeDocument/2006/relationships/hyperlink" Target="https://finance.yahoo.com/quote/SPY/options?strike=400&amp;straddle=false" TargetMode="External"/><Relationship Id="rId108" Type="http://schemas.openxmlformats.org/officeDocument/2006/relationships/hyperlink" Target="https://finance.yahoo.com/quote/SPY/options?strike=453&amp;straddle=false" TargetMode="External"/><Relationship Id="rId315" Type="http://schemas.openxmlformats.org/officeDocument/2006/relationships/hyperlink" Target="https://finance.yahoo.com/quote/SPY211029P00422500?p=SPY211029P00422500" TargetMode="External"/><Relationship Id="rId357" Type="http://schemas.openxmlformats.org/officeDocument/2006/relationships/hyperlink" Target="https://finance.yahoo.com/quote/SPY211029P00440000?p=SPY211029P00440000" TargetMode="External"/><Relationship Id="rId54" Type="http://schemas.openxmlformats.org/officeDocument/2006/relationships/hyperlink" Target="https://finance.yahoo.com/quote/SPY/options?strike=430&amp;straddle=false" TargetMode="External"/><Relationship Id="rId96" Type="http://schemas.openxmlformats.org/officeDocument/2006/relationships/hyperlink" Target="https://finance.yahoo.com/quote/SPY/options?strike=448&amp;straddle=false" TargetMode="External"/><Relationship Id="rId161" Type="http://schemas.openxmlformats.org/officeDocument/2006/relationships/hyperlink" Target="https://finance.yahoo.com/quote/SPY211029C00476000?p=SPY211029C00476000" TargetMode="External"/><Relationship Id="rId217" Type="http://schemas.openxmlformats.org/officeDocument/2006/relationships/hyperlink" Target="https://finance.yahoo.com/quote/SPY211029P00300000?p=SPY211029P00300000" TargetMode="External"/><Relationship Id="rId399" Type="http://schemas.openxmlformats.org/officeDocument/2006/relationships/hyperlink" Target="https://finance.yahoo.com/quote/SPY211029P00457500?p=SPY211029P00457500" TargetMode="External"/><Relationship Id="rId259" Type="http://schemas.openxmlformats.org/officeDocument/2006/relationships/hyperlink" Target="https://finance.yahoo.com/quote/SPY211029P00375000?p=SPY211029P00375000" TargetMode="External"/><Relationship Id="rId424" Type="http://schemas.openxmlformats.org/officeDocument/2006/relationships/hyperlink" Target="https://finance.yahoo.com/quote/SPY/options?strike=480&amp;straddle=false" TargetMode="External"/><Relationship Id="rId23" Type="http://schemas.openxmlformats.org/officeDocument/2006/relationships/hyperlink" Target="https://finance.yahoo.com/quote/SPY211029C00409000?p=SPY211029C00409000" TargetMode="External"/><Relationship Id="rId119" Type="http://schemas.openxmlformats.org/officeDocument/2006/relationships/hyperlink" Target="https://finance.yahoo.com/quote/SPY211029C00458000?p=SPY211029C00458000" TargetMode="External"/><Relationship Id="rId270" Type="http://schemas.openxmlformats.org/officeDocument/2006/relationships/hyperlink" Target="https://finance.yahoo.com/quote/SPY/options?strike=398&amp;straddle=false" TargetMode="External"/><Relationship Id="rId326" Type="http://schemas.openxmlformats.org/officeDocument/2006/relationships/hyperlink" Target="https://finance.yahoo.com/quote/SPY/options?strike=427&amp;straddle=false" TargetMode="External"/><Relationship Id="rId65" Type="http://schemas.openxmlformats.org/officeDocument/2006/relationships/hyperlink" Target="https://finance.yahoo.com/quote/SPY211029C00436000?p=SPY211029C00436000" TargetMode="External"/><Relationship Id="rId130" Type="http://schemas.openxmlformats.org/officeDocument/2006/relationships/hyperlink" Target="https://finance.yahoo.com/quote/SPY/options?strike=462.5&amp;straddle=false" TargetMode="External"/><Relationship Id="rId368" Type="http://schemas.openxmlformats.org/officeDocument/2006/relationships/hyperlink" Target="https://finance.yahoo.com/quote/SPY/options?strike=444&amp;straddle=false" TargetMode="External"/><Relationship Id="rId172" Type="http://schemas.openxmlformats.org/officeDocument/2006/relationships/hyperlink" Target="https://finance.yahoo.com/quote/SPY/options?strike=480&amp;straddle=false" TargetMode="External"/><Relationship Id="rId228" Type="http://schemas.openxmlformats.org/officeDocument/2006/relationships/hyperlink" Target="https://finance.yahoo.com/quote/SPY/options?strike=325&amp;straddle=false" TargetMode="External"/><Relationship Id="rId281" Type="http://schemas.openxmlformats.org/officeDocument/2006/relationships/hyperlink" Target="https://finance.yahoo.com/quote/SPY211029P00406000?p=SPY211029P00406000" TargetMode="External"/><Relationship Id="rId337" Type="http://schemas.openxmlformats.org/officeDocument/2006/relationships/hyperlink" Target="https://finance.yahoo.com/quote/SPY211029P00432000?p=SPY211029P00432000" TargetMode="External"/><Relationship Id="rId34" Type="http://schemas.openxmlformats.org/officeDocument/2006/relationships/hyperlink" Target="https://finance.yahoo.com/quote/SPY/options?strike=417.5&amp;straddle=false" TargetMode="External"/><Relationship Id="rId76" Type="http://schemas.openxmlformats.org/officeDocument/2006/relationships/hyperlink" Target="https://finance.yahoo.com/quote/SPY/options?strike=440&amp;straddle=false" TargetMode="External"/><Relationship Id="rId141" Type="http://schemas.openxmlformats.org/officeDocument/2006/relationships/hyperlink" Target="https://finance.yahoo.com/quote/SPY211029C00467500?p=SPY211029C00467500" TargetMode="External"/><Relationship Id="rId379" Type="http://schemas.openxmlformats.org/officeDocument/2006/relationships/hyperlink" Target="https://finance.yahoo.com/quote/SPY211029P00449000?p=SPY211029P00449000" TargetMode="External"/><Relationship Id="rId7" Type="http://schemas.openxmlformats.org/officeDocument/2006/relationships/hyperlink" Target="https://finance.yahoo.com/quote/SPY211029C00390000?p=SPY211029C00390000" TargetMode="External"/><Relationship Id="rId183" Type="http://schemas.openxmlformats.org/officeDocument/2006/relationships/hyperlink" Target="https://finance.yahoo.com/quote/SPY211029C00486000?p=SPY211029C00486000" TargetMode="External"/><Relationship Id="rId239" Type="http://schemas.openxmlformats.org/officeDocument/2006/relationships/hyperlink" Target="https://finance.yahoo.com/quote/SPY211029P00355000?p=SPY211029P00355000" TargetMode="External"/><Relationship Id="rId390" Type="http://schemas.openxmlformats.org/officeDocument/2006/relationships/hyperlink" Target="https://finance.yahoo.com/quote/SPY/options?strike=453&amp;straddle=false" TargetMode="External"/><Relationship Id="rId404" Type="http://schemas.openxmlformats.org/officeDocument/2006/relationships/hyperlink" Target="https://finance.yahoo.com/quote/SPY/options?strike=459&amp;straddle=false" TargetMode="External"/><Relationship Id="rId250" Type="http://schemas.openxmlformats.org/officeDocument/2006/relationships/hyperlink" Target="https://finance.yahoo.com/quote/SPY/options?strike=365&amp;straddle=false" TargetMode="External"/><Relationship Id="rId292" Type="http://schemas.openxmlformats.org/officeDocument/2006/relationships/hyperlink" Target="https://finance.yahoo.com/quote/SPY/options?strike=412&amp;straddle=false" TargetMode="External"/><Relationship Id="rId306" Type="http://schemas.openxmlformats.org/officeDocument/2006/relationships/hyperlink" Target="https://finance.yahoo.com/quote/SPY/options?strike=418&amp;straddle=false" TargetMode="External"/><Relationship Id="rId45" Type="http://schemas.openxmlformats.org/officeDocument/2006/relationships/hyperlink" Target="https://finance.yahoo.com/quote/SPY211029C00426000?p=SPY211029C00426000" TargetMode="External"/><Relationship Id="rId87" Type="http://schemas.openxmlformats.org/officeDocument/2006/relationships/hyperlink" Target="https://finance.yahoo.com/quote/SPY211029C00445000?p=SPY211029C00445000" TargetMode="External"/><Relationship Id="rId110" Type="http://schemas.openxmlformats.org/officeDocument/2006/relationships/hyperlink" Target="https://finance.yahoo.com/quote/SPY/options?strike=454&amp;straddle=false" TargetMode="External"/><Relationship Id="rId348" Type="http://schemas.openxmlformats.org/officeDocument/2006/relationships/hyperlink" Target="https://finance.yahoo.com/quote/SPY/options?strike=436&amp;straddle=false" TargetMode="External"/><Relationship Id="rId152" Type="http://schemas.openxmlformats.org/officeDocument/2006/relationships/hyperlink" Target="https://finance.yahoo.com/quote/SPY/options?strike=472&amp;straddle=false" TargetMode="External"/><Relationship Id="rId194" Type="http://schemas.openxmlformats.org/officeDocument/2006/relationships/hyperlink" Target="https://finance.yahoo.com/quote/SPY/options?strike=500&amp;straddle=false" TargetMode="External"/><Relationship Id="rId208" Type="http://schemas.openxmlformats.org/officeDocument/2006/relationships/hyperlink" Target="https://finance.yahoo.com/quote/SPY/options?strike=275&amp;straddle=false" TargetMode="External"/><Relationship Id="rId415" Type="http://schemas.openxmlformats.org/officeDocument/2006/relationships/hyperlink" Target="https://finance.yahoo.com/quote/SPY211029P00466000?p=SPY211029P00466000" TargetMode="External"/><Relationship Id="rId261" Type="http://schemas.openxmlformats.org/officeDocument/2006/relationships/hyperlink" Target="https://finance.yahoo.com/quote/SPY211029P00380000?p=SPY211029P00380000" TargetMode="External"/><Relationship Id="rId14" Type="http://schemas.openxmlformats.org/officeDocument/2006/relationships/hyperlink" Target="https://finance.yahoo.com/quote/SPY/options?strike=402&amp;straddle=false" TargetMode="External"/><Relationship Id="rId56" Type="http://schemas.openxmlformats.org/officeDocument/2006/relationships/hyperlink" Target="https://finance.yahoo.com/quote/SPY/options?strike=431&amp;straddle=false" TargetMode="External"/><Relationship Id="rId317" Type="http://schemas.openxmlformats.org/officeDocument/2006/relationships/hyperlink" Target="https://finance.yahoo.com/quote/SPY211029P00423000?p=SPY211029P00423000" TargetMode="External"/><Relationship Id="rId359" Type="http://schemas.openxmlformats.org/officeDocument/2006/relationships/hyperlink" Target="https://finance.yahoo.com/quote/SPY211029P00441000?p=SPY211029P00441000" TargetMode="External"/><Relationship Id="rId98" Type="http://schemas.openxmlformats.org/officeDocument/2006/relationships/hyperlink" Target="https://finance.yahoo.com/quote/SPY/options?strike=449&amp;straddle=false" TargetMode="External"/><Relationship Id="rId121" Type="http://schemas.openxmlformats.org/officeDocument/2006/relationships/hyperlink" Target="https://finance.yahoo.com/quote/SPY211029C00459000?p=SPY211029C00459000" TargetMode="External"/><Relationship Id="rId163" Type="http://schemas.openxmlformats.org/officeDocument/2006/relationships/hyperlink" Target="https://finance.yahoo.com/quote/SPY211029C00477000?p=SPY211029C00477000" TargetMode="External"/><Relationship Id="rId219" Type="http://schemas.openxmlformats.org/officeDocument/2006/relationships/hyperlink" Target="https://finance.yahoo.com/quote/SPY211029P00305000?p=SPY211029P00305000" TargetMode="External"/><Relationship Id="rId370" Type="http://schemas.openxmlformats.org/officeDocument/2006/relationships/hyperlink" Target="https://finance.yahoo.com/quote/SPY/options?strike=445&amp;straddle=false" TargetMode="External"/><Relationship Id="rId426" Type="http://schemas.openxmlformats.org/officeDocument/2006/relationships/hyperlink" Target="https://finance.yahoo.com/quote/SPY/options?strike=490&amp;straddle=false" TargetMode="External"/><Relationship Id="rId230" Type="http://schemas.openxmlformats.org/officeDocument/2006/relationships/hyperlink" Target="https://finance.yahoo.com/quote/SPY/options?strike=330&amp;straddle=false" TargetMode="External"/><Relationship Id="rId25" Type="http://schemas.openxmlformats.org/officeDocument/2006/relationships/hyperlink" Target="https://finance.yahoo.com/quote/SPY211029C00410000?p=SPY211029C00410000" TargetMode="External"/><Relationship Id="rId67" Type="http://schemas.openxmlformats.org/officeDocument/2006/relationships/hyperlink" Target="https://finance.yahoo.com/quote/SPY211029C00437000?p=SPY211029C00437000" TargetMode="External"/><Relationship Id="rId272" Type="http://schemas.openxmlformats.org/officeDocument/2006/relationships/hyperlink" Target="https://finance.yahoo.com/quote/SPY/options?strike=400&amp;straddle=false" TargetMode="External"/><Relationship Id="rId328" Type="http://schemas.openxmlformats.org/officeDocument/2006/relationships/hyperlink" Target="https://finance.yahoo.com/quote/SPY/options?strike=427.5&amp;straddle=false" TargetMode="External"/><Relationship Id="rId132" Type="http://schemas.openxmlformats.org/officeDocument/2006/relationships/hyperlink" Target="https://finance.yahoo.com/quote/SPY/options?strike=463&amp;straddle=false" TargetMode="External"/><Relationship Id="rId174" Type="http://schemas.openxmlformats.org/officeDocument/2006/relationships/hyperlink" Target="https://finance.yahoo.com/quote/SPY/options?strike=482&amp;straddle=false" TargetMode="External"/><Relationship Id="rId381" Type="http://schemas.openxmlformats.org/officeDocument/2006/relationships/hyperlink" Target="https://finance.yahoo.com/quote/SPY211029P00450000?p=SPY211029P00450000" TargetMode="External"/><Relationship Id="rId241" Type="http://schemas.openxmlformats.org/officeDocument/2006/relationships/hyperlink" Target="https://finance.yahoo.com/quote/SPY211029P00358000?p=SPY211029P00358000" TargetMode="External"/><Relationship Id="rId36" Type="http://schemas.openxmlformats.org/officeDocument/2006/relationships/hyperlink" Target="https://finance.yahoo.com/quote/SPY/options?strike=420&amp;straddle=false" TargetMode="External"/><Relationship Id="rId283" Type="http://schemas.openxmlformats.org/officeDocument/2006/relationships/hyperlink" Target="https://finance.yahoo.com/quote/SPY211029P00408000?p=SPY211029P00408000" TargetMode="External"/><Relationship Id="rId339" Type="http://schemas.openxmlformats.org/officeDocument/2006/relationships/hyperlink" Target="https://finance.yahoo.com/quote/SPY211029P00432500?p=SPY211029P00432500" TargetMode="External"/><Relationship Id="rId78" Type="http://schemas.openxmlformats.org/officeDocument/2006/relationships/hyperlink" Target="https://finance.yahoo.com/quote/SPY/options?strike=441&amp;straddle=false" TargetMode="External"/><Relationship Id="rId101" Type="http://schemas.openxmlformats.org/officeDocument/2006/relationships/hyperlink" Target="https://finance.yahoo.com/quote/SPY211029C00451000?p=SPY211029C00451000" TargetMode="External"/><Relationship Id="rId143" Type="http://schemas.openxmlformats.org/officeDocument/2006/relationships/hyperlink" Target="https://finance.yahoo.com/quote/SPY211029C00468000?p=SPY211029C00468000" TargetMode="External"/><Relationship Id="rId185" Type="http://schemas.openxmlformats.org/officeDocument/2006/relationships/hyperlink" Target="https://finance.yahoo.com/quote/SPY211029C00487000?p=SPY211029C00487000" TargetMode="External"/><Relationship Id="rId350" Type="http://schemas.openxmlformats.org/officeDocument/2006/relationships/hyperlink" Target="https://finance.yahoo.com/quote/SPY/options?strike=437&amp;straddle=false" TargetMode="External"/><Relationship Id="rId406" Type="http://schemas.openxmlformats.org/officeDocument/2006/relationships/hyperlink" Target="https://finance.yahoo.com/quote/SPY/options?strike=460&amp;straddle=false" TargetMode="External"/><Relationship Id="rId9" Type="http://schemas.openxmlformats.org/officeDocument/2006/relationships/hyperlink" Target="https://finance.yahoo.com/quote/SPY211029C00395000?p=SPY211029C00395000" TargetMode="External"/><Relationship Id="rId210" Type="http://schemas.openxmlformats.org/officeDocument/2006/relationships/hyperlink" Target="https://finance.yahoo.com/quote/SPY/options?strike=280&amp;straddle=false" TargetMode="External"/><Relationship Id="rId392" Type="http://schemas.openxmlformats.org/officeDocument/2006/relationships/hyperlink" Target="https://finance.yahoo.com/quote/SPY/options?strike=454&amp;straddle=false" TargetMode="External"/><Relationship Id="rId252" Type="http://schemas.openxmlformats.org/officeDocument/2006/relationships/hyperlink" Target="https://finance.yahoo.com/quote/SPY/options?strike=366&amp;straddle=false" TargetMode="External"/><Relationship Id="rId294" Type="http://schemas.openxmlformats.org/officeDocument/2006/relationships/hyperlink" Target="https://finance.yahoo.com/quote/SPY/options?strike=413&amp;straddle=false" TargetMode="External"/><Relationship Id="rId308" Type="http://schemas.openxmlformats.org/officeDocument/2006/relationships/hyperlink" Target="https://finance.yahoo.com/quote/SPY/options?strike=419&amp;straddle=false" TargetMode="External"/><Relationship Id="rId47" Type="http://schemas.openxmlformats.org/officeDocument/2006/relationships/hyperlink" Target="https://finance.yahoo.com/quote/SPY211029C00427000?p=SPY211029C00427000" TargetMode="External"/><Relationship Id="rId89" Type="http://schemas.openxmlformats.org/officeDocument/2006/relationships/hyperlink" Target="https://finance.yahoo.com/quote/SPY211029C00446000?p=SPY211029C00446000" TargetMode="External"/><Relationship Id="rId112" Type="http://schemas.openxmlformats.org/officeDocument/2006/relationships/hyperlink" Target="https://finance.yahoo.com/quote/SPY/options?strike=455&amp;straddle=false" TargetMode="External"/><Relationship Id="rId154" Type="http://schemas.openxmlformats.org/officeDocument/2006/relationships/hyperlink" Target="https://finance.yahoo.com/quote/SPY/options?strike=472.5&amp;straddle=false" TargetMode="External"/><Relationship Id="rId361" Type="http://schemas.openxmlformats.org/officeDocument/2006/relationships/hyperlink" Target="https://finance.yahoo.com/quote/SPY211029P00442000?p=SPY211029P00442000" TargetMode="External"/><Relationship Id="rId196" Type="http://schemas.openxmlformats.org/officeDocument/2006/relationships/hyperlink" Target="https://finance.yahoo.com/quote/SPY/options?strike=510&amp;straddle=false" TargetMode="External"/><Relationship Id="rId417" Type="http://schemas.openxmlformats.org/officeDocument/2006/relationships/hyperlink" Target="https://finance.yahoo.com/quote/SPY211029P00467500?p=SPY211029P00467500" TargetMode="External"/><Relationship Id="rId16" Type="http://schemas.openxmlformats.org/officeDocument/2006/relationships/hyperlink" Target="https://finance.yahoo.com/quote/SPY/options?strike=403&amp;straddle=false" TargetMode="External"/><Relationship Id="rId221" Type="http://schemas.openxmlformats.org/officeDocument/2006/relationships/hyperlink" Target="https://finance.yahoo.com/quote/SPY211029P00310000?p=SPY211029P00310000" TargetMode="External"/><Relationship Id="rId263" Type="http://schemas.openxmlformats.org/officeDocument/2006/relationships/hyperlink" Target="https://finance.yahoo.com/quote/SPY211029P00385000?p=SPY211029P00385000" TargetMode="External"/><Relationship Id="rId319" Type="http://schemas.openxmlformats.org/officeDocument/2006/relationships/hyperlink" Target="https://finance.yahoo.com/quote/SPY211029P00424000?p=SPY211029P00424000" TargetMode="External"/><Relationship Id="rId58" Type="http://schemas.openxmlformats.org/officeDocument/2006/relationships/hyperlink" Target="https://finance.yahoo.com/quote/SPY/options?strike=432&amp;straddle=false" TargetMode="External"/><Relationship Id="rId123" Type="http://schemas.openxmlformats.org/officeDocument/2006/relationships/hyperlink" Target="https://finance.yahoo.com/quote/SPY211029C00460000?p=SPY211029C00460000" TargetMode="External"/><Relationship Id="rId330" Type="http://schemas.openxmlformats.org/officeDocument/2006/relationships/hyperlink" Target="https://finance.yahoo.com/quote/SPY/options?strike=428&amp;straddle=false" TargetMode="External"/><Relationship Id="rId165" Type="http://schemas.openxmlformats.org/officeDocument/2006/relationships/hyperlink" Target="https://finance.yahoo.com/quote/SPY211029C00477500?p=SPY211029C00477500" TargetMode="External"/><Relationship Id="rId372" Type="http://schemas.openxmlformats.org/officeDocument/2006/relationships/hyperlink" Target="https://finance.yahoo.com/quote/SPY/options?strike=446&amp;straddle=false" TargetMode="External"/><Relationship Id="rId428" Type="http://schemas.openxmlformats.org/officeDocument/2006/relationships/hyperlink" Target="https://finance.yahoo.com/quote/SPY/options?strike=500&amp;straddle=false" TargetMode="External"/><Relationship Id="rId232" Type="http://schemas.openxmlformats.org/officeDocument/2006/relationships/hyperlink" Target="https://finance.yahoo.com/quote/SPY/options?strike=335&amp;straddle=false" TargetMode="External"/><Relationship Id="rId274" Type="http://schemas.openxmlformats.org/officeDocument/2006/relationships/hyperlink" Target="https://finance.yahoo.com/quote/SPY/options?strike=402&amp;straddle=false" TargetMode="External"/><Relationship Id="rId27" Type="http://schemas.openxmlformats.org/officeDocument/2006/relationships/hyperlink" Target="https://finance.yahoo.com/quote/SPY211029C00414000?p=SPY211029C00414000" TargetMode="External"/><Relationship Id="rId69" Type="http://schemas.openxmlformats.org/officeDocument/2006/relationships/hyperlink" Target="https://finance.yahoo.com/quote/SPY211029C00437500?p=SPY211029C00437500" TargetMode="External"/><Relationship Id="rId134" Type="http://schemas.openxmlformats.org/officeDocument/2006/relationships/hyperlink" Target="https://finance.yahoo.com/quote/SPY/options?strike=464&amp;straddle=false" TargetMode="External"/><Relationship Id="rId80" Type="http://schemas.openxmlformats.org/officeDocument/2006/relationships/hyperlink" Target="https://finance.yahoo.com/quote/SPY/options?strike=442&amp;straddle=false" TargetMode="External"/><Relationship Id="rId176" Type="http://schemas.openxmlformats.org/officeDocument/2006/relationships/hyperlink" Target="https://finance.yahoo.com/quote/SPY/options?strike=482.5&amp;straddle=false" TargetMode="External"/><Relationship Id="rId341" Type="http://schemas.openxmlformats.org/officeDocument/2006/relationships/hyperlink" Target="https://finance.yahoo.com/quote/SPY211029P00433000?p=SPY211029P00433000" TargetMode="External"/><Relationship Id="rId383" Type="http://schemas.openxmlformats.org/officeDocument/2006/relationships/hyperlink" Target="https://finance.yahoo.com/quote/SPY211029P00451000?p=SPY211029P00451000" TargetMode="External"/><Relationship Id="rId201" Type="http://schemas.openxmlformats.org/officeDocument/2006/relationships/hyperlink" Target="https://finance.yahoo.com/quote/SPY211029P00240000?p=SPY211029P00240000" TargetMode="External"/><Relationship Id="rId243" Type="http://schemas.openxmlformats.org/officeDocument/2006/relationships/hyperlink" Target="https://finance.yahoo.com/quote/SPY211029P00360000?p=SPY211029P00360000" TargetMode="External"/><Relationship Id="rId285" Type="http://schemas.openxmlformats.org/officeDocument/2006/relationships/hyperlink" Target="https://finance.yahoo.com/quote/SPY211029P00409000?p=SPY211029P00409000" TargetMode="External"/><Relationship Id="rId38" Type="http://schemas.openxmlformats.org/officeDocument/2006/relationships/hyperlink" Target="https://finance.yahoo.com/quote/SPY/options?strike=421&amp;straddle=false" TargetMode="External"/><Relationship Id="rId103" Type="http://schemas.openxmlformats.org/officeDocument/2006/relationships/hyperlink" Target="https://finance.yahoo.com/quote/SPY211029C00452000?p=SPY211029C00452000" TargetMode="External"/><Relationship Id="rId310" Type="http://schemas.openxmlformats.org/officeDocument/2006/relationships/hyperlink" Target="https://finance.yahoo.com/quote/SPY/options?strike=420&amp;straddle=false" TargetMode="External"/><Relationship Id="rId91" Type="http://schemas.openxmlformats.org/officeDocument/2006/relationships/hyperlink" Target="https://finance.yahoo.com/quote/SPY211029C00447000?p=SPY211029C00447000" TargetMode="External"/><Relationship Id="rId145" Type="http://schemas.openxmlformats.org/officeDocument/2006/relationships/hyperlink" Target="https://finance.yahoo.com/quote/SPY211029C00469000?p=SPY211029C00469000" TargetMode="External"/><Relationship Id="rId187" Type="http://schemas.openxmlformats.org/officeDocument/2006/relationships/hyperlink" Target="https://finance.yahoo.com/quote/SPY211029C00488000?p=SPY211029C00488000" TargetMode="External"/><Relationship Id="rId352" Type="http://schemas.openxmlformats.org/officeDocument/2006/relationships/hyperlink" Target="https://finance.yahoo.com/quote/SPY/options?strike=437.5&amp;straddle=false" TargetMode="External"/><Relationship Id="rId394" Type="http://schemas.openxmlformats.org/officeDocument/2006/relationships/hyperlink" Target="https://finance.yahoo.com/quote/SPY/options?strike=455&amp;straddle=false" TargetMode="External"/><Relationship Id="rId408" Type="http://schemas.openxmlformats.org/officeDocument/2006/relationships/hyperlink" Target="https://finance.yahoo.com/quote/SPY/options?strike=462&amp;straddle=false" TargetMode="External"/><Relationship Id="rId1" Type="http://schemas.openxmlformats.org/officeDocument/2006/relationships/hyperlink" Target="https://finance.yahoo.com/quote/SPY211029C00375000?p=SPY211029C00375000" TargetMode="External"/><Relationship Id="rId212" Type="http://schemas.openxmlformats.org/officeDocument/2006/relationships/hyperlink" Target="https://finance.yahoo.com/quote/SPY/options?strike=285&amp;straddle=false" TargetMode="External"/><Relationship Id="rId233" Type="http://schemas.openxmlformats.org/officeDocument/2006/relationships/hyperlink" Target="https://finance.yahoo.com/quote/SPY211029P00340000?p=SPY211029P00340000" TargetMode="External"/><Relationship Id="rId254" Type="http://schemas.openxmlformats.org/officeDocument/2006/relationships/hyperlink" Target="https://finance.yahoo.com/quote/SPY/options?strike=368&amp;straddle=false" TargetMode="External"/><Relationship Id="rId28" Type="http://schemas.openxmlformats.org/officeDocument/2006/relationships/hyperlink" Target="https://finance.yahoo.com/quote/SPY/options?strike=414&amp;straddle=false" TargetMode="External"/><Relationship Id="rId49" Type="http://schemas.openxmlformats.org/officeDocument/2006/relationships/hyperlink" Target="https://finance.yahoo.com/quote/SPY211029C00427500?p=SPY211029C00427500" TargetMode="External"/><Relationship Id="rId114" Type="http://schemas.openxmlformats.org/officeDocument/2006/relationships/hyperlink" Target="https://finance.yahoo.com/quote/SPY/options?strike=456&amp;straddle=false" TargetMode="External"/><Relationship Id="rId275" Type="http://schemas.openxmlformats.org/officeDocument/2006/relationships/hyperlink" Target="https://finance.yahoo.com/quote/SPY211029P00403000?p=SPY211029P00403000" TargetMode="External"/><Relationship Id="rId296" Type="http://schemas.openxmlformats.org/officeDocument/2006/relationships/hyperlink" Target="https://finance.yahoo.com/quote/SPY/options?strike=414&amp;straddle=false" TargetMode="External"/><Relationship Id="rId300" Type="http://schemas.openxmlformats.org/officeDocument/2006/relationships/hyperlink" Target="https://finance.yahoo.com/quote/SPY/options?strike=416&amp;straddle=false" TargetMode="External"/><Relationship Id="rId60" Type="http://schemas.openxmlformats.org/officeDocument/2006/relationships/hyperlink" Target="https://finance.yahoo.com/quote/SPY/options?strike=432.5&amp;straddle=false" TargetMode="External"/><Relationship Id="rId81" Type="http://schemas.openxmlformats.org/officeDocument/2006/relationships/hyperlink" Target="https://finance.yahoo.com/quote/SPY211029C00442500?p=SPY211029C00442500" TargetMode="External"/><Relationship Id="rId135" Type="http://schemas.openxmlformats.org/officeDocument/2006/relationships/hyperlink" Target="https://finance.yahoo.com/quote/SPY211029C00465000?p=SPY211029C00465000" TargetMode="External"/><Relationship Id="rId156" Type="http://schemas.openxmlformats.org/officeDocument/2006/relationships/hyperlink" Target="https://finance.yahoo.com/quote/SPY/options?strike=473&amp;straddle=false" TargetMode="External"/><Relationship Id="rId177" Type="http://schemas.openxmlformats.org/officeDocument/2006/relationships/hyperlink" Target="https://finance.yahoo.com/quote/SPY211029C00483000?p=SPY211029C00483000" TargetMode="External"/><Relationship Id="rId198" Type="http://schemas.openxmlformats.org/officeDocument/2006/relationships/hyperlink" Target="https://finance.yahoo.com/quote/SPY/options?strike=520&amp;straddle=false" TargetMode="External"/><Relationship Id="rId321" Type="http://schemas.openxmlformats.org/officeDocument/2006/relationships/hyperlink" Target="https://finance.yahoo.com/quote/SPY211029P00425000?p=SPY211029P00425000" TargetMode="External"/><Relationship Id="rId342" Type="http://schemas.openxmlformats.org/officeDocument/2006/relationships/hyperlink" Target="https://finance.yahoo.com/quote/SPY/options?strike=433&amp;straddle=false" TargetMode="External"/><Relationship Id="rId363" Type="http://schemas.openxmlformats.org/officeDocument/2006/relationships/hyperlink" Target="https://finance.yahoo.com/quote/SPY211029P00442500?p=SPY211029P00442500" TargetMode="External"/><Relationship Id="rId384" Type="http://schemas.openxmlformats.org/officeDocument/2006/relationships/hyperlink" Target="https://finance.yahoo.com/quote/SPY/options?strike=451&amp;straddle=false" TargetMode="External"/><Relationship Id="rId419" Type="http://schemas.openxmlformats.org/officeDocument/2006/relationships/hyperlink" Target="https://finance.yahoo.com/quote/SPY211029P00468000?p=SPY211029P00468000" TargetMode="External"/><Relationship Id="rId202" Type="http://schemas.openxmlformats.org/officeDocument/2006/relationships/hyperlink" Target="https://finance.yahoo.com/quote/SPY/options?strike=240&amp;straddle=false" TargetMode="External"/><Relationship Id="rId223" Type="http://schemas.openxmlformats.org/officeDocument/2006/relationships/hyperlink" Target="https://finance.yahoo.com/quote/SPY211029P00315000?p=SPY211029P00315000" TargetMode="External"/><Relationship Id="rId244" Type="http://schemas.openxmlformats.org/officeDocument/2006/relationships/hyperlink" Target="https://finance.yahoo.com/quote/SPY/options?strike=360&amp;straddle=false" TargetMode="External"/><Relationship Id="rId430" Type="http://schemas.openxmlformats.org/officeDocument/2006/relationships/drawing" Target="../drawings/drawing2.xml"/><Relationship Id="rId18" Type="http://schemas.openxmlformats.org/officeDocument/2006/relationships/hyperlink" Target="https://finance.yahoo.com/quote/SPY/options?strike=405&amp;straddle=false" TargetMode="External"/><Relationship Id="rId39" Type="http://schemas.openxmlformats.org/officeDocument/2006/relationships/hyperlink" Target="https://finance.yahoo.com/quote/SPY211029C00422500?p=SPY211029C00422500" TargetMode="External"/><Relationship Id="rId265" Type="http://schemas.openxmlformats.org/officeDocument/2006/relationships/hyperlink" Target="https://finance.yahoo.com/quote/SPY211029P00390000?p=SPY211029P00390000" TargetMode="External"/><Relationship Id="rId286" Type="http://schemas.openxmlformats.org/officeDocument/2006/relationships/hyperlink" Target="https://finance.yahoo.com/quote/SPY/options?strike=409&amp;straddle=false" TargetMode="External"/><Relationship Id="rId50" Type="http://schemas.openxmlformats.org/officeDocument/2006/relationships/hyperlink" Target="https://finance.yahoo.com/quote/SPY/options?strike=427.5&amp;straddle=false" TargetMode="External"/><Relationship Id="rId104" Type="http://schemas.openxmlformats.org/officeDocument/2006/relationships/hyperlink" Target="https://finance.yahoo.com/quote/SPY/options?strike=452&amp;straddle=false" TargetMode="External"/><Relationship Id="rId125" Type="http://schemas.openxmlformats.org/officeDocument/2006/relationships/hyperlink" Target="https://finance.yahoo.com/quote/SPY211029C00461000?p=SPY211029C00461000" TargetMode="External"/><Relationship Id="rId146" Type="http://schemas.openxmlformats.org/officeDocument/2006/relationships/hyperlink" Target="https://finance.yahoo.com/quote/SPY/options?strike=469&amp;straddle=false" TargetMode="External"/><Relationship Id="rId167" Type="http://schemas.openxmlformats.org/officeDocument/2006/relationships/hyperlink" Target="https://finance.yahoo.com/quote/SPY211029C00478000?p=SPY211029C00478000" TargetMode="External"/><Relationship Id="rId188" Type="http://schemas.openxmlformats.org/officeDocument/2006/relationships/hyperlink" Target="https://finance.yahoo.com/quote/SPY/options?strike=488&amp;straddle=false" TargetMode="External"/><Relationship Id="rId311" Type="http://schemas.openxmlformats.org/officeDocument/2006/relationships/hyperlink" Target="https://finance.yahoo.com/quote/SPY211029P00421000?p=SPY211029P00421000" TargetMode="External"/><Relationship Id="rId332" Type="http://schemas.openxmlformats.org/officeDocument/2006/relationships/hyperlink" Target="https://finance.yahoo.com/quote/SPY/options?strike=429&amp;straddle=false" TargetMode="External"/><Relationship Id="rId353" Type="http://schemas.openxmlformats.org/officeDocument/2006/relationships/hyperlink" Target="https://finance.yahoo.com/quote/SPY211029P00438000?p=SPY211029P00438000" TargetMode="External"/><Relationship Id="rId374" Type="http://schemas.openxmlformats.org/officeDocument/2006/relationships/hyperlink" Target="https://finance.yahoo.com/quote/SPY/options?strike=447&amp;straddle=false" TargetMode="External"/><Relationship Id="rId395" Type="http://schemas.openxmlformats.org/officeDocument/2006/relationships/hyperlink" Target="https://finance.yahoo.com/quote/SPY211029P00456000?p=SPY211029P00456000" TargetMode="External"/><Relationship Id="rId409" Type="http://schemas.openxmlformats.org/officeDocument/2006/relationships/hyperlink" Target="https://finance.yahoo.com/quote/SPY211029P00462500?p=SPY211029P00462500" TargetMode="External"/><Relationship Id="rId71" Type="http://schemas.openxmlformats.org/officeDocument/2006/relationships/hyperlink" Target="https://finance.yahoo.com/quote/SPY211029C00438000?p=SPY211029C00438000" TargetMode="External"/><Relationship Id="rId92" Type="http://schemas.openxmlformats.org/officeDocument/2006/relationships/hyperlink" Target="https://finance.yahoo.com/quote/SPY/options?strike=447&amp;straddle=false" TargetMode="External"/><Relationship Id="rId213" Type="http://schemas.openxmlformats.org/officeDocument/2006/relationships/hyperlink" Target="https://finance.yahoo.com/quote/SPY211029P00290000?p=SPY211029P00290000" TargetMode="External"/><Relationship Id="rId234" Type="http://schemas.openxmlformats.org/officeDocument/2006/relationships/hyperlink" Target="https://finance.yahoo.com/quote/SPY/options?strike=340&amp;straddle=false" TargetMode="External"/><Relationship Id="rId420" Type="http://schemas.openxmlformats.org/officeDocument/2006/relationships/hyperlink" Target="https://finance.yahoo.com/quote/SPY/options?strike=468&amp;straddle=false" TargetMode="External"/><Relationship Id="rId2" Type="http://schemas.openxmlformats.org/officeDocument/2006/relationships/hyperlink" Target="https://finance.yahoo.com/quote/SPY/options?strike=375&amp;straddle=false" TargetMode="External"/><Relationship Id="rId29" Type="http://schemas.openxmlformats.org/officeDocument/2006/relationships/hyperlink" Target="https://finance.yahoo.com/quote/SPY211029C00415000?p=SPY211029C00415000" TargetMode="External"/><Relationship Id="rId255" Type="http://schemas.openxmlformats.org/officeDocument/2006/relationships/hyperlink" Target="https://finance.yahoo.com/quote/SPY211029P00370000?p=SPY211029P00370000" TargetMode="External"/><Relationship Id="rId276" Type="http://schemas.openxmlformats.org/officeDocument/2006/relationships/hyperlink" Target="https://finance.yahoo.com/quote/SPY/options?strike=403&amp;straddle=false" TargetMode="External"/><Relationship Id="rId297" Type="http://schemas.openxmlformats.org/officeDocument/2006/relationships/hyperlink" Target="https://finance.yahoo.com/quote/SPY211029P00415000?p=SPY211029P00415000" TargetMode="External"/><Relationship Id="rId40" Type="http://schemas.openxmlformats.org/officeDocument/2006/relationships/hyperlink" Target="https://finance.yahoo.com/quote/SPY/options?strike=422.5&amp;straddle=false" TargetMode="External"/><Relationship Id="rId115" Type="http://schemas.openxmlformats.org/officeDocument/2006/relationships/hyperlink" Target="https://finance.yahoo.com/quote/SPY211029C00457000?p=SPY211029C00457000" TargetMode="External"/><Relationship Id="rId136" Type="http://schemas.openxmlformats.org/officeDocument/2006/relationships/hyperlink" Target="https://finance.yahoo.com/quote/SPY/options?strike=465&amp;straddle=false" TargetMode="External"/><Relationship Id="rId157" Type="http://schemas.openxmlformats.org/officeDocument/2006/relationships/hyperlink" Target="https://finance.yahoo.com/quote/SPY211029C00474000?p=SPY211029C00474000" TargetMode="External"/><Relationship Id="rId178" Type="http://schemas.openxmlformats.org/officeDocument/2006/relationships/hyperlink" Target="https://finance.yahoo.com/quote/SPY/options?strike=483&amp;straddle=false" TargetMode="External"/><Relationship Id="rId301" Type="http://schemas.openxmlformats.org/officeDocument/2006/relationships/hyperlink" Target="https://finance.yahoo.com/quote/SPY211029P00417000?p=SPY211029P00417000" TargetMode="External"/><Relationship Id="rId322" Type="http://schemas.openxmlformats.org/officeDocument/2006/relationships/hyperlink" Target="https://finance.yahoo.com/quote/SPY/options?strike=425&amp;straddle=false" TargetMode="External"/><Relationship Id="rId343" Type="http://schemas.openxmlformats.org/officeDocument/2006/relationships/hyperlink" Target="https://finance.yahoo.com/quote/SPY211029P00434000?p=SPY211029P00434000" TargetMode="External"/><Relationship Id="rId364" Type="http://schemas.openxmlformats.org/officeDocument/2006/relationships/hyperlink" Target="https://finance.yahoo.com/quote/SPY/options?strike=442.5&amp;straddle=false" TargetMode="External"/><Relationship Id="rId61" Type="http://schemas.openxmlformats.org/officeDocument/2006/relationships/hyperlink" Target="https://finance.yahoo.com/quote/SPY211029C00434000?p=SPY211029C00434000" TargetMode="External"/><Relationship Id="rId82" Type="http://schemas.openxmlformats.org/officeDocument/2006/relationships/hyperlink" Target="https://finance.yahoo.com/quote/SPY/options?strike=442.5&amp;straddle=false" TargetMode="External"/><Relationship Id="rId199" Type="http://schemas.openxmlformats.org/officeDocument/2006/relationships/hyperlink" Target="https://finance.yahoo.com/quote/SPY211029C00540000?p=SPY211029C00540000" TargetMode="External"/><Relationship Id="rId203" Type="http://schemas.openxmlformats.org/officeDocument/2006/relationships/hyperlink" Target="https://finance.yahoo.com/quote/SPY211029P00250000?p=SPY211029P00250000" TargetMode="External"/><Relationship Id="rId385" Type="http://schemas.openxmlformats.org/officeDocument/2006/relationships/hyperlink" Target="https://finance.yahoo.com/quote/SPY211029P00452000?p=SPY211029P00452000" TargetMode="External"/><Relationship Id="rId19" Type="http://schemas.openxmlformats.org/officeDocument/2006/relationships/hyperlink" Target="https://finance.yahoo.com/quote/SPY211029C00406000?p=SPY211029C00406000" TargetMode="External"/><Relationship Id="rId224" Type="http://schemas.openxmlformats.org/officeDocument/2006/relationships/hyperlink" Target="https://finance.yahoo.com/quote/SPY/options?strike=315&amp;straddle=false" TargetMode="External"/><Relationship Id="rId245" Type="http://schemas.openxmlformats.org/officeDocument/2006/relationships/hyperlink" Target="https://finance.yahoo.com/quote/SPY211029P00362000?p=SPY211029P00362000" TargetMode="External"/><Relationship Id="rId266" Type="http://schemas.openxmlformats.org/officeDocument/2006/relationships/hyperlink" Target="https://finance.yahoo.com/quote/SPY/options?strike=390&amp;straddle=false" TargetMode="External"/><Relationship Id="rId287" Type="http://schemas.openxmlformats.org/officeDocument/2006/relationships/hyperlink" Target="https://finance.yahoo.com/quote/SPY211029P00410000?p=SPY211029P00410000" TargetMode="External"/><Relationship Id="rId410" Type="http://schemas.openxmlformats.org/officeDocument/2006/relationships/hyperlink" Target="https://finance.yahoo.com/quote/SPY/options?strike=462.5&amp;straddle=false" TargetMode="External"/><Relationship Id="rId30" Type="http://schemas.openxmlformats.org/officeDocument/2006/relationships/hyperlink" Target="https://finance.yahoo.com/quote/SPY/options?strike=415&amp;straddle=false" TargetMode="External"/><Relationship Id="rId105" Type="http://schemas.openxmlformats.org/officeDocument/2006/relationships/hyperlink" Target="https://finance.yahoo.com/quote/SPY211029C00452500?p=SPY211029C00452500" TargetMode="External"/><Relationship Id="rId126" Type="http://schemas.openxmlformats.org/officeDocument/2006/relationships/hyperlink" Target="https://finance.yahoo.com/quote/SPY/options?strike=461&amp;straddle=false" TargetMode="External"/><Relationship Id="rId147" Type="http://schemas.openxmlformats.org/officeDocument/2006/relationships/hyperlink" Target="https://finance.yahoo.com/quote/SPY211029C00470000?p=SPY211029C00470000" TargetMode="External"/><Relationship Id="rId168" Type="http://schemas.openxmlformats.org/officeDocument/2006/relationships/hyperlink" Target="https://finance.yahoo.com/quote/SPY/options?strike=478&amp;straddle=false" TargetMode="External"/><Relationship Id="rId312" Type="http://schemas.openxmlformats.org/officeDocument/2006/relationships/hyperlink" Target="https://finance.yahoo.com/quote/SPY/options?strike=421&amp;straddle=false" TargetMode="External"/><Relationship Id="rId333" Type="http://schemas.openxmlformats.org/officeDocument/2006/relationships/hyperlink" Target="https://finance.yahoo.com/quote/SPY211029P00430000?p=SPY211029P00430000" TargetMode="External"/><Relationship Id="rId354" Type="http://schemas.openxmlformats.org/officeDocument/2006/relationships/hyperlink" Target="https://finance.yahoo.com/quote/SPY/options?strike=438&amp;straddle=false" TargetMode="External"/><Relationship Id="rId51" Type="http://schemas.openxmlformats.org/officeDocument/2006/relationships/hyperlink" Target="https://finance.yahoo.com/quote/SPY211029C00428000?p=SPY211029C00428000" TargetMode="External"/><Relationship Id="rId72" Type="http://schemas.openxmlformats.org/officeDocument/2006/relationships/hyperlink" Target="https://finance.yahoo.com/quote/SPY/options?strike=438&amp;straddle=false" TargetMode="External"/><Relationship Id="rId93" Type="http://schemas.openxmlformats.org/officeDocument/2006/relationships/hyperlink" Target="https://finance.yahoo.com/quote/SPY211029C00447500?p=SPY211029C00447500" TargetMode="External"/><Relationship Id="rId189" Type="http://schemas.openxmlformats.org/officeDocument/2006/relationships/hyperlink" Target="https://finance.yahoo.com/quote/SPY211029C00490000?p=SPY211029C00490000" TargetMode="External"/><Relationship Id="rId375" Type="http://schemas.openxmlformats.org/officeDocument/2006/relationships/hyperlink" Target="https://finance.yahoo.com/quote/SPY211029P00447500?p=SPY211029P00447500" TargetMode="External"/><Relationship Id="rId396" Type="http://schemas.openxmlformats.org/officeDocument/2006/relationships/hyperlink" Target="https://finance.yahoo.com/quote/SPY/options?strike=456&amp;straddle=false" TargetMode="External"/><Relationship Id="rId3" Type="http://schemas.openxmlformats.org/officeDocument/2006/relationships/hyperlink" Target="https://finance.yahoo.com/quote/SPY211029C00380000?p=SPY211029C00380000" TargetMode="External"/><Relationship Id="rId214" Type="http://schemas.openxmlformats.org/officeDocument/2006/relationships/hyperlink" Target="https://finance.yahoo.com/quote/SPY/options?strike=290&amp;straddle=false" TargetMode="External"/><Relationship Id="rId235" Type="http://schemas.openxmlformats.org/officeDocument/2006/relationships/hyperlink" Target="https://finance.yahoo.com/quote/SPY211029P00345000?p=SPY211029P00345000" TargetMode="External"/><Relationship Id="rId256" Type="http://schemas.openxmlformats.org/officeDocument/2006/relationships/hyperlink" Target="https://finance.yahoo.com/quote/SPY/options?strike=370&amp;straddle=false" TargetMode="External"/><Relationship Id="rId277" Type="http://schemas.openxmlformats.org/officeDocument/2006/relationships/hyperlink" Target="https://finance.yahoo.com/quote/SPY211029P00404000?p=SPY211029P00404000" TargetMode="External"/><Relationship Id="rId298" Type="http://schemas.openxmlformats.org/officeDocument/2006/relationships/hyperlink" Target="https://finance.yahoo.com/quote/SPY/options?strike=415&amp;straddle=false" TargetMode="External"/><Relationship Id="rId400" Type="http://schemas.openxmlformats.org/officeDocument/2006/relationships/hyperlink" Target="https://finance.yahoo.com/quote/SPY/options?strike=457.5&amp;straddle=false" TargetMode="External"/><Relationship Id="rId421" Type="http://schemas.openxmlformats.org/officeDocument/2006/relationships/hyperlink" Target="https://finance.yahoo.com/quote/SPY211029P00470000?p=SPY211029P00470000" TargetMode="External"/><Relationship Id="rId116" Type="http://schemas.openxmlformats.org/officeDocument/2006/relationships/hyperlink" Target="https://finance.yahoo.com/quote/SPY/options?strike=457&amp;straddle=false" TargetMode="External"/><Relationship Id="rId137" Type="http://schemas.openxmlformats.org/officeDocument/2006/relationships/hyperlink" Target="https://finance.yahoo.com/quote/SPY211029C00466000?p=SPY211029C00466000" TargetMode="External"/><Relationship Id="rId158" Type="http://schemas.openxmlformats.org/officeDocument/2006/relationships/hyperlink" Target="https://finance.yahoo.com/quote/SPY/options?strike=474&amp;straddle=false" TargetMode="External"/><Relationship Id="rId302" Type="http://schemas.openxmlformats.org/officeDocument/2006/relationships/hyperlink" Target="https://finance.yahoo.com/quote/SPY/options?strike=417&amp;straddle=false" TargetMode="External"/><Relationship Id="rId323" Type="http://schemas.openxmlformats.org/officeDocument/2006/relationships/hyperlink" Target="https://finance.yahoo.com/quote/SPY211029P00426000?p=SPY211029P00426000" TargetMode="External"/><Relationship Id="rId344" Type="http://schemas.openxmlformats.org/officeDocument/2006/relationships/hyperlink" Target="https://finance.yahoo.com/quote/SPY/options?strike=434&amp;straddle=false" TargetMode="External"/><Relationship Id="rId20" Type="http://schemas.openxmlformats.org/officeDocument/2006/relationships/hyperlink" Target="https://finance.yahoo.com/quote/SPY/options?strike=406&amp;straddle=false" TargetMode="External"/><Relationship Id="rId41" Type="http://schemas.openxmlformats.org/officeDocument/2006/relationships/hyperlink" Target="https://finance.yahoo.com/quote/SPY211029C00424000?p=SPY211029C00424000" TargetMode="External"/><Relationship Id="rId62" Type="http://schemas.openxmlformats.org/officeDocument/2006/relationships/hyperlink" Target="https://finance.yahoo.com/quote/SPY/options?strike=434&amp;straddle=false" TargetMode="External"/><Relationship Id="rId83" Type="http://schemas.openxmlformats.org/officeDocument/2006/relationships/hyperlink" Target="https://finance.yahoo.com/quote/SPY211029C00443000?p=SPY211029C00443000" TargetMode="External"/><Relationship Id="rId179" Type="http://schemas.openxmlformats.org/officeDocument/2006/relationships/hyperlink" Target="https://finance.yahoo.com/quote/SPY211029C00484000?p=SPY211029C00484000" TargetMode="External"/><Relationship Id="rId365" Type="http://schemas.openxmlformats.org/officeDocument/2006/relationships/hyperlink" Target="https://finance.yahoo.com/quote/SPY211029P00443000?p=SPY211029P00443000" TargetMode="External"/><Relationship Id="rId386" Type="http://schemas.openxmlformats.org/officeDocument/2006/relationships/hyperlink" Target="https://finance.yahoo.com/quote/SPY/options?strike=452&amp;straddle=false" TargetMode="External"/><Relationship Id="rId190" Type="http://schemas.openxmlformats.org/officeDocument/2006/relationships/hyperlink" Target="https://finance.yahoo.com/quote/SPY/options?strike=490&amp;straddle=false" TargetMode="External"/><Relationship Id="rId204" Type="http://schemas.openxmlformats.org/officeDocument/2006/relationships/hyperlink" Target="https://finance.yahoo.com/quote/SPY/options?strike=250&amp;straddle=false" TargetMode="External"/><Relationship Id="rId225" Type="http://schemas.openxmlformats.org/officeDocument/2006/relationships/hyperlink" Target="https://finance.yahoo.com/quote/SPY211029P00320000?p=SPY211029P00320000" TargetMode="External"/><Relationship Id="rId246" Type="http://schemas.openxmlformats.org/officeDocument/2006/relationships/hyperlink" Target="https://finance.yahoo.com/quote/SPY/options?strike=362&amp;straddle=false" TargetMode="External"/><Relationship Id="rId267" Type="http://schemas.openxmlformats.org/officeDocument/2006/relationships/hyperlink" Target="https://finance.yahoo.com/quote/SPY211029P00395000?p=SPY211029P00395000" TargetMode="External"/><Relationship Id="rId288" Type="http://schemas.openxmlformats.org/officeDocument/2006/relationships/hyperlink" Target="https://finance.yahoo.com/quote/SPY/options?strike=410&amp;straddle=false" TargetMode="External"/><Relationship Id="rId411" Type="http://schemas.openxmlformats.org/officeDocument/2006/relationships/hyperlink" Target="https://finance.yahoo.com/quote/SPY211029P00464000?p=SPY211029P00464000" TargetMode="External"/><Relationship Id="rId106" Type="http://schemas.openxmlformats.org/officeDocument/2006/relationships/hyperlink" Target="https://finance.yahoo.com/quote/SPY/options?strike=452.5&amp;straddle=false" TargetMode="External"/><Relationship Id="rId127" Type="http://schemas.openxmlformats.org/officeDocument/2006/relationships/hyperlink" Target="https://finance.yahoo.com/quote/SPY211029C00462000?p=SPY211029C00462000" TargetMode="External"/><Relationship Id="rId313" Type="http://schemas.openxmlformats.org/officeDocument/2006/relationships/hyperlink" Target="https://finance.yahoo.com/quote/SPY211029P00422000?p=SPY211029P00422000" TargetMode="External"/><Relationship Id="rId10" Type="http://schemas.openxmlformats.org/officeDocument/2006/relationships/hyperlink" Target="https://finance.yahoo.com/quote/SPY/options?strike=395&amp;straddle=false" TargetMode="External"/><Relationship Id="rId31" Type="http://schemas.openxmlformats.org/officeDocument/2006/relationships/hyperlink" Target="https://finance.yahoo.com/quote/SPY211029C00416000?p=SPY211029C00416000" TargetMode="External"/><Relationship Id="rId52" Type="http://schemas.openxmlformats.org/officeDocument/2006/relationships/hyperlink" Target="https://finance.yahoo.com/quote/SPY/options?strike=428&amp;straddle=false" TargetMode="External"/><Relationship Id="rId73" Type="http://schemas.openxmlformats.org/officeDocument/2006/relationships/hyperlink" Target="https://finance.yahoo.com/quote/SPY211029C00439000?p=SPY211029C00439000" TargetMode="External"/><Relationship Id="rId94" Type="http://schemas.openxmlformats.org/officeDocument/2006/relationships/hyperlink" Target="https://finance.yahoo.com/quote/SPY/options?strike=447.5&amp;straddle=false" TargetMode="External"/><Relationship Id="rId148" Type="http://schemas.openxmlformats.org/officeDocument/2006/relationships/hyperlink" Target="https://finance.yahoo.com/quote/SPY/options?strike=470&amp;straddle=false" TargetMode="External"/><Relationship Id="rId169" Type="http://schemas.openxmlformats.org/officeDocument/2006/relationships/hyperlink" Target="https://finance.yahoo.com/quote/SPY211029C00479000?p=SPY211029C00479000" TargetMode="External"/><Relationship Id="rId334" Type="http://schemas.openxmlformats.org/officeDocument/2006/relationships/hyperlink" Target="https://finance.yahoo.com/quote/SPY/options?strike=430&amp;straddle=false" TargetMode="External"/><Relationship Id="rId355" Type="http://schemas.openxmlformats.org/officeDocument/2006/relationships/hyperlink" Target="https://finance.yahoo.com/quote/SPY211029P00439000?p=SPY211029P00439000" TargetMode="External"/><Relationship Id="rId376" Type="http://schemas.openxmlformats.org/officeDocument/2006/relationships/hyperlink" Target="https://finance.yahoo.com/quote/SPY/options?strike=447.5&amp;straddle=false" TargetMode="External"/><Relationship Id="rId397" Type="http://schemas.openxmlformats.org/officeDocument/2006/relationships/hyperlink" Target="https://finance.yahoo.com/quote/SPY211029P00457000?p=SPY211029P00457000" TargetMode="External"/><Relationship Id="rId4" Type="http://schemas.openxmlformats.org/officeDocument/2006/relationships/hyperlink" Target="https://finance.yahoo.com/quote/SPY/options?strike=380&amp;straddle=false" TargetMode="External"/><Relationship Id="rId180" Type="http://schemas.openxmlformats.org/officeDocument/2006/relationships/hyperlink" Target="https://finance.yahoo.com/quote/SPY/options?strike=484&amp;straddle=false" TargetMode="External"/><Relationship Id="rId215" Type="http://schemas.openxmlformats.org/officeDocument/2006/relationships/hyperlink" Target="https://finance.yahoo.com/quote/SPY211029P00295000?p=SPY211029P00295000" TargetMode="External"/><Relationship Id="rId236" Type="http://schemas.openxmlformats.org/officeDocument/2006/relationships/hyperlink" Target="https://finance.yahoo.com/quote/SPY/options?strike=345&amp;straddle=false" TargetMode="External"/><Relationship Id="rId257" Type="http://schemas.openxmlformats.org/officeDocument/2006/relationships/hyperlink" Target="https://finance.yahoo.com/quote/SPY211029P00372000?p=SPY211029P00372000" TargetMode="External"/><Relationship Id="rId278" Type="http://schemas.openxmlformats.org/officeDocument/2006/relationships/hyperlink" Target="https://finance.yahoo.com/quote/SPY/options?strike=404&amp;straddle=false" TargetMode="External"/><Relationship Id="rId401" Type="http://schemas.openxmlformats.org/officeDocument/2006/relationships/hyperlink" Target="https://finance.yahoo.com/quote/SPY211029P00458000?p=SPY211029P00458000" TargetMode="External"/><Relationship Id="rId422" Type="http://schemas.openxmlformats.org/officeDocument/2006/relationships/hyperlink" Target="https://finance.yahoo.com/quote/SPY/options?strike=470&amp;straddle=false" TargetMode="External"/><Relationship Id="rId303" Type="http://schemas.openxmlformats.org/officeDocument/2006/relationships/hyperlink" Target="https://finance.yahoo.com/quote/SPY211029P00417500?p=SPY211029P00417500" TargetMode="External"/><Relationship Id="rId42" Type="http://schemas.openxmlformats.org/officeDocument/2006/relationships/hyperlink" Target="https://finance.yahoo.com/quote/SPY/options?strike=424&amp;straddle=false" TargetMode="External"/><Relationship Id="rId84" Type="http://schemas.openxmlformats.org/officeDocument/2006/relationships/hyperlink" Target="https://finance.yahoo.com/quote/SPY/options?strike=443&amp;straddle=false" TargetMode="External"/><Relationship Id="rId138" Type="http://schemas.openxmlformats.org/officeDocument/2006/relationships/hyperlink" Target="https://finance.yahoo.com/quote/SPY/options?strike=466&amp;straddle=false" TargetMode="External"/><Relationship Id="rId345" Type="http://schemas.openxmlformats.org/officeDocument/2006/relationships/hyperlink" Target="https://finance.yahoo.com/quote/SPY211029P00435000?p=SPY211029P00435000" TargetMode="External"/><Relationship Id="rId387" Type="http://schemas.openxmlformats.org/officeDocument/2006/relationships/hyperlink" Target="https://finance.yahoo.com/quote/SPY211029P00452500?p=SPY211029P00452500" TargetMode="External"/><Relationship Id="rId191" Type="http://schemas.openxmlformats.org/officeDocument/2006/relationships/hyperlink" Target="https://finance.yahoo.com/quote/SPY211029C00495000?p=SPY211029C00495000" TargetMode="External"/><Relationship Id="rId205" Type="http://schemas.openxmlformats.org/officeDocument/2006/relationships/hyperlink" Target="https://finance.yahoo.com/quote/SPY211029P00270000?p=SPY211029P00270000" TargetMode="External"/><Relationship Id="rId247" Type="http://schemas.openxmlformats.org/officeDocument/2006/relationships/hyperlink" Target="https://finance.yahoo.com/quote/SPY211029P00364000?p=SPY211029P00364000" TargetMode="External"/><Relationship Id="rId412" Type="http://schemas.openxmlformats.org/officeDocument/2006/relationships/hyperlink" Target="https://finance.yahoo.com/quote/SPY/options?strike=464&amp;straddle=false" TargetMode="External"/><Relationship Id="rId107" Type="http://schemas.openxmlformats.org/officeDocument/2006/relationships/hyperlink" Target="https://finance.yahoo.com/quote/SPY211029C00453000?p=SPY211029C00453000" TargetMode="External"/><Relationship Id="rId289" Type="http://schemas.openxmlformats.org/officeDocument/2006/relationships/hyperlink" Target="https://finance.yahoo.com/quote/SPY211029P00411000?p=SPY211029P00411000" TargetMode="External"/><Relationship Id="rId11" Type="http://schemas.openxmlformats.org/officeDocument/2006/relationships/hyperlink" Target="https://finance.yahoo.com/quote/SPY211029C00400000?p=SPY211029C00400000" TargetMode="External"/><Relationship Id="rId53" Type="http://schemas.openxmlformats.org/officeDocument/2006/relationships/hyperlink" Target="https://finance.yahoo.com/quote/SPY211029C00430000?p=SPY211029C00430000" TargetMode="External"/><Relationship Id="rId149" Type="http://schemas.openxmlformats.org/officeDocument/2006/relationships/hyperlink" Target="https://finance.yahoo.com/quote/SPY211029C00471000?p=SPY211029C00471000" TargetMode="External"/><Relationship Id="rId314" Type="http://schemas.openxmlformats.org/officeDocument/2006/relationships/hyperlink" Target="https://finance.yahoo.com/quote/SPY/options?strike=422&amp;straddle=false" TargetMode="External"/><Relationship Id="rId356" Type="http://schemas.openxmlformats.org/officeDocument/2006/relationships/hyperlink" Target="https://finance.yahoo.com/quote/SPY/options?strike=439&amp;straddle=false" TargetMode="External"/><Relationship Id="rId398" Type="http://schemas.openxmlformats.org/officeDocument/2006/relationships/hyperlink" Target="https://finance.yahoo.com/quote/SPY/options?strike=457&amp;straddle=false" TargetMode="External"/><Relationship Id="rId95" Type="http://schemas.openxmlformats.org/officeDocument/2006/relationships/hyperlink" Target="https://finance.yahoo.com/quote/SPY211029C00448000?p=SPY211029C00448000" TargetMode="External"/><Relationship Id="rId160" Type="http://schemas.openxmlformats.org/officeDocument/2006/relationships/hyperlink" Target="https://finance.yahoo.com/quote/SPY/options?strike=475&amp;straddle=false" TargetMode="External"/><Relationship Id="rId216" Type="http://schemas.openxmlformats.org/officeDocument/2006/relationships/hyperlink" Target="https://finance.yahoo.com/quote/SPY/options?strike=295&amp;straddle=false" TargetMode="External"/><Relationship Id="rId423" Type="http://schemas.openxmlformats.org/officeDocument/2006/relationships/hyperlink" Target="https://finance.yahoo.com/quote/SPY211029P00480000?p=SPY211029P00480000" TargetMode="External"/><Relationship Id="rId258" Type="http://schemas.openxmlformats.org/officeDocument/2006/relationships/hyperlink" Target="https://finance.yahoo.com/quote/SPY/options?strike=372&amp;straddle=false" TargetMode="External"/><Relationship Id="rId22" Type="http://schemas.openxmlformats.org/officeDocument/2006/relationships/hyperlink" Target="https://finance.yahoo.com/quote/SPY/options?strike=408&amp;straddle=false" TargetMode="External"/><Relationship Id="rId64" Type="http://schemas.openxmlformats.org/officeDocument/2006/relationships/hyperlink" Target="https://finance.yahoo.com/quote/SPY/options?strike=435&amp;straddle=false" TargetMode="External"/><Relationship Id="rId118" Type="http://schemas.openxmlformats.org/officeDocument/2006/relationships/hyperlink" Target="https://finance.yahoo.com/quote/SPY/options?strike=457.5&amp;straddle=false" TargetMode="External"/><Relationship Id="rId325" Type="http://schemas.openxmlformats.org/officeDocument/2006/relationships/hyperlink" Target="https://finance.yahoo.com/quote/SPY211029P00427000?p=SPY211029P00427000" TargetMode="External"/><Relationship Id="rId367" Type="http://schemas.openxmlformats.org/officeDocument/2006/relationships/hyperlink" Target="https://finance.yahoo.com/quote/SPY211029P00444000?p=SPY211029P00444000" TargetMode="External"/><Relationship Id="rId171" Type="http://schemas.openxmlformats.org/officeDocument/2006/relationships/hyperlink" Target="https://finance.yahoo.com/quote/SPY211029C00480000?p=SPY211029C00480000" TargetMode="External"/><Relationship Id="rId227" Type="http://schemas.openxmlformats.org/officeDocument/2006/relationships/hyperlink" Target="https://finance.yahoo.com/quote/SPY211029P00325000?p=SPY211029P00325000" TargetMode="External"/><Relationship Id="rId269" Type="http://schemas.openxmlformats.org/officeDocument/2006/relationships/hyperlink" Target="https://finance.yahoo.com/quote/SPY211029P00398000?p=SPY211029P00398000" TargetMode="External"/><Relationship Id="rId33" Type="http://schemas.openxmlformats.org/officeDocument/2006/relationships/hyperlink" Target="https://finance.yahoo.com/quote/SPY211029C00417500?p=SPY211029C00417500" TargetMode="External"/><Relationship Id="rId129" Type="http://schemas.openxmlformats.org/officeDocument/2006/relationships/hyperlink" Target="https://finance.yahoo.com/quote/SPY211029C00462500?p=SPY211029C00462500" TargetMode="External"/><Relationship Id="rId280" Type="http://schemas.openxmlformats.org/officeDocument/2006/relationships/hyperlink" Target="https://finance.yahoo.com/quote/SPY/options?strike=405&amp;straddle=false" TargetMode="External"/><Relationship Id="rId336" Type="http://schemas.openxmlformats.org/officeDocument/2006/relationships/hyperlink" Target="https://finance.yahoo.com/quote/SPY/options?strike=431&amp;straddle=false" TargetMode="External"/><Relationship Id="rId75" Type="http://schemas.openxmlformats.org/officeDocument/2006/relationships/hyperlink" Target="https://finance.yahoo.com/quote/SPY211029C00440000?p=SPY211029C00440000" TargetMode="External"/><Relationship Id="rId140" Type="http://schemas.openxmlformats.org/officeDocument/2006/relationships/hyperlink" Target="https://finance.yahoo.com/quote/SPY/options?strike=467&amp;straddle=false" TargetMode="External"/><Relationship Id="rId182" Type="http://schemas.openxmlformats.org/officeDocument/2006/relationships/hyperlink" Target="https://finance.yahoo.com/quote/SPY/options?strike=485&amp;straddle=false" TargetMode="External"/><Relationship Id="rId378" Type="http://schemas.openxmlformats.org/officeDocument/2006/relationships/hyperlink" Target="https://finance.yahoo.com/quote/SPY/options?strike=448&amp;straddle=false" TargetMode="External"/><Relationship Id="rId403" Type="http://schemas.openxmlformats.org/officeDocument/2006/relationships/hyperlink" Target="https://finance.yahoo.com/quote/SPY211029P00459000?p=SPY211029P00459000" TargetMode="External"/><Relationship Id="rId6" Type="http://schemas.openxmlformats.org/officeDocument/2006/relationships/hyperlink" Target="https://finance.yahoo.com/quote/SPY/options?strike=385&amp;straddle=false" TargetMode="External"/><Relationship Id="rId238" Type="http://schemas.openxmlformats.org/officeDocument/2006/relationships/hyperlink" Target="https://finance.yahoo.com/quote/SPY/options?strike=350&amp;straddle=false" TargetMode="External"/><Relationship Id="rId291" Type="http://schemas.openxmlformats.org/officeDocument/2006/relationships/hyperlink" Target="https://finance.yahoo.com/quote/SPY211029P00412000?p=SPY211029P00412000" TargetMode="External"/><Relationship Id="rId305" Type="http://schemas.openxmlformats.org/officeDocument/2006/relationships/hyperlink" Target="https://finance.yahoo.com/quote/SPY211029P00418000?p=SPY211029P00418000" TargetMode="External"/><Relationship Id="rId347" Type="http://schemas.openxmlformats.org/officeDocument/2006/relationships/hyperlink" Target="https://finance.yahoo.com/quote/SPY211029P00436000?p=SPY211029P00436000" TargetMode="External"/><Relationship Id="rId44" Type="http://schemas.openxmlformats.org/officeDocument/2006/relationships/hyperlink" Target="https://finance.yahoo.com/quote/SPY/options?strike=425&amp;straddle=false" TargetMode="External"/><Relationship Id="rId86" Type="http://schemas.openxmlformats.org/officeDocument/2006/relationships/hyperlink" Target="https://finance.yahoo.com/quote/SPY/options?strike=444&amp;straddle=false" TargetMode="External"/><Relationship Id="rId151" Type="http://schemas.openxmlformats.org/officeDocument/2006/relationships/hyperlink" Target="https://finance.yahoo.com/quote/SPY211029C00472000?p=SPY211029C00472000" TargetMode="External"/><Relationship Id="rId389" Type="http://schemas.openxmlformats.org/officeDocument/2006/relationships/hyperlink" Target="https://finance.yahoo.com/quote/SPY211029P00453000?p=SPY211029P00453000" TargetMode="External"/><Relationship Id="rId193" Type="http://schemas.openxmlformats.org/officeDocument/2006/relationships/hyperlink" Target="https://finance.yahoo.com/quote/SPY211029C00500000?p=SPY211029C00500000" TargetMode="External"/><Relationship Id="rId207" Type="http://schemas.openxmlformats.org/officeDocument/2006/relationships/hyperlink" Target="https://finance.yahoo.com/quote/SPY211029P00275000?p=SPY211029P00275000" TargetMode="External"/><Relationship Id="rId249" Type="http://schemas.openxmlformats.org/officeDocument/2006/relationships/hyperlink" Target="https://finance.yahoo.com/quote/SPY211029P00365000?p=SPY211029P00365000" TargetMode="External"/><Relationship Id="rId414" Type="http://schemas.openxmlformats.org/officeDocument/2006/relationships/hyperlink" Target="https://finance.yahoo.com/quote/SPY/options?strike=465&amp;straddle=false" TargetMode="External"/><Relationship Id="rId13" Type="http://schemas.openxmlformats.org/officeDocument/2006/relationships/hyperlink" Target="https://finance.yahoo.com/quote/SPY211029C00402000?p=SPY211029C00402000" TargetMode="External"/><Relationship Id="rId109" Type="http://schemas.openxmlformats.org/officeDocument/2006/relationships/hyperlink" Target="https://finance.yahoo.com/quote/SPY211029C00454000?p=SPY211029C00454000" TargetMode="External"/><Relationship Id="rId260" Type="http://schemas.openxmlformats.org/officeDocument/2006/relationships/hyperlink" Target="https://finance.yahoo.com/quote/SPY/options?strike=375&amp;straddle=false" TargetMode="External"/><Relationship Id="rId316" Type="http://schemas.openxmlformats.org/officeDocument/2006/relationships/hyperlink" Target="https://finance.yahoo.com/quote/SPY/options?strike=422.5&amp;straddle=false" TargetMode="External"/><Relationship Id="rId55" Type="http://schemas.openxmlformats.org/officeDocument/2006/relationships/hyperlink" Target="https://finance.yahoo.com/quote/SPY211029C00431000?p=SPY211029C00431000" TargetMode="External"/><Relationship Id="rId97" Type="http://schemas.openxmlformats.org/officeDocument/2006/relationships/hyperlink" Target="https://finance.yahoo.com/quote/SPY211029C00449000?p=SPY211029C00449000" TargetMode="External"/><Relationship Id="rId120" Type="http://schemas.openxmlformats.org/officeDocument/2006/relationships/hyperlink" Target="https://finance.yahoo.com/quote/SPY/options?strike=458&amp;straddle=false" TargetMode="External"/><Relationship Id="rId358" Type="http://schemas.openxmlformats.org/officeDocument/2006/relationships/hyperlink" Target="https://finance.yahoo.com/quote/SPY/options?strike=440&amp;straddle=false" TargetMode="External"/><Relationship Id="rId162" Type="http://schemas.openxmlformats.org/officeDocument/2006/relationships/hyperlink" Target="https://finance.yahoo.com/quote/SPY/options?strike=476&amp;straddle=false" TargetMode="External"/><Relationship Id="rId218" Type="http://schemas.openxmlformats.org/officeDocument/2006/relationships/hyperlink" Target="https://finance.yahoo.com/quote/SPY/options?strike=300&amp;straddle=false" TargetMode="External"/><Relationship Id="rId425" Type="http://schemas.openxmlformats.org/officeDocument/2006/relationships/hyperlink" Target="https://finance.yahoo.com/quote/SPY211029P00490000?p=SPY211029P00490000" TargetMode="External"/><Relationship Id="rId271" Type="http://schemas.openxmlformats.org/officeDocument/2006/relationships/hyperlink" Target="https://finance.yahoo.com/quote/SPY211029P00400000?p=SPY211029P00400000" TargetMode="External"/><Relationship Id="rId24" Type="http://schemas.openxmlformats.org/officeDocument/2006/relationships/hyperlink" Target="https://finance.yahoo.com/quote/SPY/options?strike=409&amp;straddle=false" TargetMode="External"/><Relationship Id="rId66" Type="http://schemas.openxmlformats.org/officeDocument/2006/relationships/hyperlink" Target="https://finance.yahoo.com/quote/SPY/options?strike=436&amp;straddle=false" TargetMode="External"/><Relationship Id="rId131" Type="http://schemas.openxmlformats.org/officeDocument/2006/relationships/hyperlink" Target="https://finance.yahoo.com/quote/SPY211029C00463000?p=SPY211029C00463000" TargetMode="External"/><Relationship Id="rId327" Type="http://schemas.openxmlformats.org/officeDocument/2006/relationships/hyperlink" Target="https://finance.yahoo.com/quote/SPY211029P00427500?p=SPY211029P00427500" TargetMode="External"/><Relationship Id="rId369" Type="http://schemas.openxmlformats.org/officeDocument/2006/relationships/hyperlink" Target="https://finance.yahoo.com/quote/SPY211029P00445000?p=SPY211029P00445000" TargetMode="External"/><Relationship Id="rId173" Type="http://schemas.openxmlformats.org/officeDocument/2006/relationships/hyperlink" Target="https://finance.yahoo.com/quote/SPY211029C00482000?p=SPY211029C00482000" TargetMode="External"/><Relationship Id="rId229" Type="http://schemas.openxmlformats.org/officeDocument/2006/relationships/hyperlink" Target="https://finance.yahoo.com/quote/SPY211029P00330000?p=SPY211029P00330000" TargetMode="External"/><Relationship Id="rId380" Type="http://schemas.openxmlformats.org/officeDocument/2006/relationships/hyperlink" Target="https://finance.yahoo.com/quote/SPY/options?strike=449&amp;straddle=false" TargetMode="External"/><Relationship Id="rId240" Type="http://schemas.openxmlformats.org/officeDocument/2006/relationships/hyperlink" Target="https://finance.yahoo.com/quote/SPY/options?strike=355&amp;straddle=false" TargetMode="External"/><Relationship Id="rId35" Type="http://schemas.openxmlformats.org/officeDocument/2006/relationships/hyperlink" Target="https://finance.yahoo.com/quote/SPY211029C00420000?p=SPY211029C00420000" TargetMode="External"/><Relationship Id="rId77" Type="http://schemas.openxmlformats.org/officeDocument/2006/relationships/hyperlink" Target="https://finance.yahoo.com/quote/SPY211029C00441000?p=SPY211029C00441000" TargetMode="External"/><Relationship Id="rId100" Type="http://schemas.openxmlformats.org/officeDocument/2006/relationships/hyperlink" Target="https://finance.yahoo.com/quote/SPY/options?strike=450&amp;straddle=false" TargetMode="External"/><Relationship Id="rId282" Type="http://schemas.openxmlformats.org/officeDocument/2006/relationships/hyperlink" Target="https://finance.yahoo.com/quote/SPY/options?strike=406&amp;straddle=false" TargetMode="External"/><Relationship Id="rId338" Type="http://schemas.openxmlformats.org/officeDocument/2006/relationships/hyperlink" Target="https://finance.yahoo.com/quote/SPY/options?strike=432&amp;straddle=false" TargetMode="External"/><Relationship Id="rId8" Type="http://schemas.openxmlformats.org/officeDocument/2006/relationships/hyperlink" Target="https://finance.yahoo.com/quote/SPY/options?strike=390&amp;straddle=false" TargetMode="External"/><Relationship Id="rId142" Type="http://schemas.openxmlformats.org/officeDocument/2006/relationships/hyperlink" Target="https://finance.yahoo.com/quote/SPY/options?strike=467.5&amp;straddle=false" TargetMode="External"/><Relationship Id="rId184" Type="http://schemas.openxmlformats.org/officeDocument/2006/relationships/hyperlink" Target="https://finance.yahoo.com/quote/SPY/options?strike=486&amp;straddle=false" TargetMode="External"/><Relationship Id="rId391" Type="http://schemas.openxmlformats.org/officeDocument/2006/relationships/hyperlink" Target="https://finance.yahoo.com/quote/SPY211029P00454000?p=SPY211029P00454000" TargetMode="External"/><Relationship Id="rId405" Type="http://schemas.openxmlformats.org/officeDocument/2006/relationships/hyperlink" Target="https://finance.yahoo.com/quote/SPY211029P00460000?p=SPY211029P00460000" TargetMode="External"/><Relationship Id="rId251" Type="http://schemas.openxmlformats.org/officeDocument/2006/relationships/hyperlink" Target="https://finance.yahoo.com/quote/SPY211029P00366000?p=SPY211029P00366000" TargetMode="External"/><Relationship Id="rId46" Type="http://schemas.openxmlformats.org/officeDocument/2006/relationships/hyperlink" Target="https://finance.yahoo.com/quote/SPY/options?strike=426&amp;straddle=false" TargetMode="External"/><Relationship Id="rId293" Type="http://schemas.openxmlformats.org/officeDocument/2006/relationships/hyperlink" Target="https://finance.yahoo.com/quote/SPY211029P00413000?p=SPY211029P00413000" TargetMode="External"/><Relationship Id="rId307" Type="http://schemas.openxmlformats.org/officeDocument/2006/relationships/hyperlink" Target="https://finance.yahoo.com/quote/SPY211029P00419000?p=SPY211029P00419000" TargetMode="External"/><Relationship Id="rId349" Type="http://schemas.openxmlformats.org/officeDocument/2006/relationships/hyperlink" Target="https://finance.yahoo.com/quote/SPY211029P00437000?p=SPY211029P00437000" TargetMode="External"/><Relationship Id="rId88" Type="http://schemas.openxmlformats.org/officeDocument/2006/relationships/hyperlink" Target="https://finance.yahoo.com/quote/SPY/options?strike=445&amp;straddle=false" TargetMode="External"/><Relationship Id="rId111" Type="http://schemas.openxmlformats.org/officeDocument/2006/relationships/hyperlink" Target="https://finance.yahoo.com/quote/SPY211029C00455000?p=SPY211029C00455000" TargetMode="External"/><Relationship Id="rId153" Type="http://schemas.openxmlformats.org/officeDocument/2006/relationships/hyperlink" Target="https://finance.yahoo.com/quote/SPY211029C00472500?p=SPY211029C00472500" TargetMode="External"/><Relationship Id="rId195" Type="http://schemas.openxmlformats.org/officeDocument/2006/relationships/hyperlink" Target="https://finance.yahoo.com/quote/SPY211029C00510000?p=SPY211029C00510000" TargetMode="External"/><Relationship Id="rId209" Type="http://schemas.openxmlformats.org/officeDocument/2006/relationships/hyperlink" Target="https://finance.yahoo.com/quote/SPY211029P00280000?p=SPY211029P00280000" TargetMode="External"/><Relationship Id="rId360" Type="http://schemas.openxmlformats.org/officeDocument/2006/relationships/hyperlink" Target="https://finance.yahoo.com/quote/SPY/options?strike=441&amp;straddle=false" TargetMode="External"/><Relationship Id="rId416" Type="http://schemas.openxmlformats.org/officeDocument/2006/relationships/hyperlink" Target="https://finance.yahoo.com/quote/SPY/options?strike=466&amp;straddle=false" TargetMode="External"/><Relationship Id="rId220" Type="http://schemas.openxmlformats.org/officeDocument/2006/relationships/hyperlink" Target="https://finance.yahoo.com/quote/SPY/options?strike=305&amp;straddle=false" TargetMode="External"/><Relationship Id="rId15" Type="http://schemas.openxmlformats.org/officeDocument/2006/relationships/hyperlink" Target="https://finance.yahoo.com/quote/SPY211029C00403000?p=SPY211029C00403000" TargetMode="External"/><Relationship Id="rId57" Type="http://schemas.openxmlformats.org/officeDocument/2006/relationships/hyperlink" Target="https://finance.yahoo.com/quote/SPY211029C00432000?p=SPY211029C00432000" TargetMode="External"/><Relationship Id="rId262" Type="http://schemas.openxmlformats.org/officeDocument/2006/relationships/hyperlink" Target="https://finance.yahoo.com/quote/SPY/options?strike=380&amp;straddle=false" TargetMode="External"/><Relationship Id="rId318" Type="http://schemas.openxmlformats.org/officeDocument/2006/relationships/hyperlink" Target="https://finance.yahoo.com/quote/SPY/options?strike=423&amp;straddle=false" TargetMode="External"/><Relationship Id="rId99" Type="http://schemas.openxmlformats.org/officeDocument/2006/relationships/hyperlink" Target="https://finance.yahoo.com/quote/SPY211029C00450000?p=SPY211029C00450000" TargetMode="External"/><Relationship Id="rId122" Type="http://schemas.openxmlformats.org/officeDocument/2006/relationships/hyperlink" Target="https://finance.yahoo.com/quote/SPY/options?strike=459&amp;straddle=false" TargetMode="External"/><Relationship Id="rId164" Type="http://schemas.openxmlformats.org/officeDocument/2006/relationships/hyperlink" Target="https://finance.yahoo.com/quote/SPY/options?strike=477&amp;straddle=false" TargetMode="External"/><Relationship Id="rId371" Type="http://schemas.openxmlformats.org/officeDocument/2006/relationships/hyperlink" Target="https://finance.yahoo.com/quote/SPY211029P00446000?p=SPY211029P00446000" TargetMode="External"/><Relationship Id="rId427" Type="http://schemas.openxmlformats.org/officeDocument/2006/relationships/hyperlink" Target="https://finance.yahoo.com/quote/SPY211029P00500000?p=SPY211029P00500000" TargetMode="External"/><Relationship Id="rId26" Type="http://schemas.openxmlformats.org/officeDocument/2006/relationships/hyperlink" Target="https://finance.yahoo.com/quote/SPY/options?strike=410&amp;straddle=false" TargetMode="External"/><Relationship Id="rId231" Type="http://schemas.openxmlformats.org/officeDocument/2006/relationships/hyperlink" Target="https://finance.yahoo.com/quote/SPY211029P00335000?p=SPY211029P00335000" TargetMode="External"/><Relationship Id="rId273" Type="http://schemas.openxmlformats.org/officeDocument/2006/relationships/hyperlink" Target="https://finance.yahoo.com/quote/SPY211029P00402000?p=SPY211029P00402000" TargetMode="External"/><Relationship Id="rId329" Type="http://schemas.openxmlformats.org/officeDocument/2006/relationships/hyperlink" Target="https://finance.yahoo.com/quote/SPY211029P00428000?p=SPY211029P00428000" TargetMode="External"/><Relationship Id="rId68" Type="http://schemas.openxmlformats.org/officeDocument/2006/relationships/hyperlink" Target="https://finance.yahoo.com/quote/SPY/options?strike=437&amp;straddle=false" TargetMode="External"/><Relationship Id="rId133" Type="http://schemas.openxmlformats.org/officeDocument/2006/relationships/hyperlink" Target="https://finance.yahoo.com/quote/SPY211029C00464000?p=SPY211029C00464000" TargetMode="External"/><Relationship Id="rId175" Type="http://schemas.openxmlformats.org/officeDocument/2006/relationships/hyperlink" Target="https://finance.yahoo.com/quote/SPY211029C00482500?p=SPY211029C00482500" TargetMode="External"/><Relationship Id="rId340" Type="http://schemas.openxmlformats.org/officeDocument/2006/relationships/hyperlink" Target="https://finance.yahoo.com/quote/SPY/options?strike=432.5&amp;straddle=false" TargetMode="External"/><Relationship Id="rId200" Type="http://schemas.openxmlformats.org/officeDocument/2006/relationships/hyperlink" Target="https://finance.yahoo.com/quote/SPY/options?strike=540&amp;straddle=false" TargetMode="External"/><Relationship Id="rId382" Type="http://schemas.openxmlformats.org/officeDocument/2006/relationships/hyperlink" Target="https://finance.yahoo.com/quote/SPY/options?strike=450&amp;straddle=false" TargetMode="External"/><Relationship Id="rId242" Type="http://schemas.openxmlformats.org/officeDocument/2006/relationships/hyperlink" Target="https://finance.yahoo.com/quote/SPY/options?strike=358&amp;straddle=false" TargetMode="External"/><Relationship Id="rId284" Type="http://schemas.openxmlformats.org/officeDocument/2006/relationships/hyperlink" Target="https://finance.yahoo.com/quote/SPY/options?strike=408&amp;straddle=false" TargetMode="External"/><Relationship Id="rId37" Type="http://schemas.openxmlformats.org/officeDocument/2006/relationships/hyperlink" Target="https://finance.yahoo.com/quote/SPY211029C00421000?p=SPY211029C00421000" TargetMode="External"/><Relationship Id="rId79" Type="http://schemas.openxmlformats.org/officeDocument/2006/relationships/hyperlink" Target="https://finance.yahoo.com/quote/SPY211029C00442000?p=SPY211029C00442000" TargetMode="External"/><Relationship Id="rId102" Type="http://schemas.openxmlformats.org/officeDocument/2006/relationships/hyperlink" Target="https://finance.yahoo.com/quote/SPY/options?strike=451&amp;straddle=false" TargetMode="External"/><Relationship Id="rId144" Type="http://schemas.openxmlformats.org/officeDocument/2006/relationships/hyperlink" Target="https://finance.yahoo.com/quote/SPY/options?strike=468&amp;straddle=false" TargetMode="External"/><Relationship Id="rId90" Type="http://schemas.openxmlformats.org/officeDocument/2006/relationships/hyperlink" Target="https://finance.yahoo.com/quote/SPY/options?strike=446&amp;straddle=false" TargetMode="External"/><Relationship Id="rId186" Type="http://schemas.openxmlformats.org/officeDocument/2006/relationships/hyperlink" Target="https://finance.yahoo.com/quote/SPY/options?strike=487&amp;straddle=false" TargetMode="External"/><Relationship Id="rId351" Type="http://schemas.openxmlformats.org/officeDocument/2006/relationships/hyperlink" Target="https://finance.yahoo.com/quote/SPY211029P00437500?p=SPY211029P00437500" TargetMode="External"/><Relationship Id="rId393" Type="http://schemas.openxmlformats.org/officeDocument/2006/relationships/hyperlink" Target="https://finance.yahoo.com/quote/SPY211029P00455000?p=SPY211029P00455000" TargetMode="External"/><Relationship Id="rId407" Type="http://schemas.openxmlformats.org/officeDocument/2006/relationships/hyperlink" Target="https://finance.yahoo.com/quote/SPY211029P00462000?p=SPY211029P00462000" TargetMode="External"/><Relationship Id="rId211" Type="http://schemas.openxmlformats.org/officeDocument/2006/relationships/hyperlink" Target="https://finance.yahoo.com/quote/SPY211029P00285000?p=SPY211029P00285000" TargetMode="External"/><Relationship Id="rId253" Type="http://schemas.openxmlformats.org/officeDocument/2006/relationships/hyperlink" Target="https://finance.yahoo.com/quote/SPY211029P00368000?p=SPY211029P00368000" TargetMode="External"/><Relationship Id="rId295" Type="http://schemas.openxmlformats.org/officeDocument/2006/relationships/hyperlink" Target="https://finance.yahoo.com/quote/SPY211029P00414000?p=SPY211029P00414000" TargetMode="External"/><Relationship Id="rId309" Type="http://schemas.openxmlformats.org/officeDocument/2006/relationships/hyperlink" Target="https://finance.yahoo.com/quote/SPY211029P00420000?p=SPY211029P00420000" TargetMode="External"/><Relationship Id="rId48" Type="http://schemas.openxmlformats.org/officeDocument/2006/relationships/hyperlink" Target="https://finance.yahoo.com/quote/SPY/options?strike=427&amp;straddle=false" TargetMode="External"/><Relationship Id="rId113" Type="http://schemas.openxmlformats.org/officeDocument/2006/relationships/hyperlink" Target="https://finance.yahoo.com/quote/SPY211029C00456000?p=SPY211029C00456000" TargetMode="External"/><Relationship Id="rId320" Type="http://schemas.openxmlformats.org/officeDocument/2006/relationships/hyperlink" Target="https://finance.yahoo.com/quote/SPY/options?strike=424&amp;straddle=false" TargetMode="External"/><Relationship Id="rId155" Type="http://schemas.openxmlformats.org/officeDocument/2006/relationships/hyperlink" Target="https://finance.yahoo.com/quote/SPY211029C00473000?p=SPY211029C00473000" TargetMode="External"/><Relationship Id="rId197" Type="http://schemas.openxmlformats.org/officeDocument/2006/relationships/hyperlink" Target="https://finance.yahoo.com/quote/SPY211029C00520000?p=SPY211029C00520000" TargetMode="External"/><Relationship Id="rId362" Type="http://schemas.openxmlformats.org/officeDocument/2006/relationships/hyperlink" Target="https://finance.yahoo.com/quote/SPY/options?strike=442&amp;straddle=false" TargetMode="External"/><Relationship Id="rId418" Type="http://schemas.openxmlformats.org/officeDocument/2006/relationships/hyperlink" Target="https://finance.yahoo.com/quote/SPY/options?strike=467.5&amp;straddle=false" TargetMode="External"/><Relationship Id="rId222" Type="http://schemas.openxmlformats.org/officeDocument/2006/relationships/hyperlink" Target="https://finance.yahoo.com/quote/SPY/options?strike=310&amp;straddle=false" TargetMode="External"/><Relationship Id="rId264" Type="http://schemas.openxmlformats.org/officeDocument/2006/relationships/hyperlink" Target="https://finance.yahoo.com/quote/SPY/options?strike=385&amp;straddle=false" TargetMode="External"/><Relationship Id="rId17" Type="http://schemas.openxmlformats.org/officeDocument/2006/relationships/hyperlink" Target="https://finance.yahoo.com/quote/SPY211029C00405000?p=SPY211029C00405000" TargetMode="External"/><Relationship Id="rId59" Type="http://schemas.openxmlformats.org/officeDocument/2006/relationships/hyperlink" Target="https://finance.yahoo.com/quote/SPY211029C00432500?p=SPY211029C00432500" TargetMode="External"/><Relationship Id="rId124" Type="http://schemas.openxmlformats.org/officeDocument/2006/relationships/hyperlink" Target="https://finance.yahoo.com/quote/SPY/options?strike=460&amp;straddle=false" TargetMode="External"/><Relationship Id="rId70" Type="http://schemas.openxmlformats.org/officeDocument/2006/relationships/hyperlink" Target="https://finance.yahoo.com/quote/SPY/options?strike=437.5&amp;straddle=false" TargetMode="External"/><Relationship Id="rId166" Type="http://schemas.openxmlformats.org/officeDocument/2006/relationships/hyperlink" Target="https://finance.yahoo.com/quote/SPY/options?strike=477.5&amp;straddle=false" TargetMode="External"/><Relationship Id="rId331" Type="http://schemas.openxmlformats.org/officeDocument/2006/relationships/hyperlink" Target="https://finance.yahoo.com/quote/SPY211029P00429000?p=SPY211029P00429000" TargetMode="External"/><Relationship Id="rId373" Type="http://schemas.openxmlformats.org/officeDocument/2006/relationships/hyperlink" Target="https://finance.yahoo.com/quote/SPY211029P00447000?p=SPY211029P00447000" TargetMode="External"/><Relationship Id="rId42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inance.yahoo.com/quote/SPY211022C00426000?p=SPY211022C00426000" TargetMode="External"/><Relationship Id="rId21" Type="http://schemas.openxmlformats.org/officeDocument/2006/relationships/hyperlink" Target="https://finance.yahoo.com/quote/SPY/options?date=1634083200&amp;straddle=false" TargetMode="External"/><Relationship Id="rId42" Type="http://schemas.openxmlformats.org/officeDocument/2006/relationships/hyperlink" Target="https://finance.yahoo.com/quote/SPY220331C00426000?p=SPY220331C00426000" TargetMode="External"/><Relationship Id="rId47" Type="http://schemas.openxmlformats.org/officeDocument/2006/relationships/hyperlink" Target="https://finance.yahoo.com/quote/SPY/options?date=1656547200&amp;straddle=false" TargetMode="External"/><Relationship Id="rId63" Type="http://schemas.openxmlformats.org/officeDocument/2006/relationships/hyperlink" Target="https://finance.yahoo.com/quote/SPY/options?date=1633478400&amp;straddle=false" TargetMode="External"/><Relationship Id="rId68" Type="http://schemas.openxmlformats.org/officeDocument/2006/relationships/hyperlink" Target="https://finance.yahoo.com/quote/SPY211013P00426000?p=SPY211013P00426000" TargetMode="External"/><Relationship Id="rId84" Type="http://schemas.openxmlformats.org/officeDocument/2006/relationships/hyperlink" Target="https://finance.yahoo.com/quote/SPY211231P00426000?p=SPY211231P00426000" TargetMode="External"/><Relationship Id="rId89" Type="http://schemas.openxmlformats.org/officeDocument/2006/relationships/hyperlink" Target="https://finance.yahoo.com/quote/SPY/options?date=1645142400&amp;straddle=false" TargetMode="External"/><Relationship Id="rId16" Type="http://schemas.openxmlformats.org/officeDocument/2006/relationships/hyperlink" Target="https://finance.yahoo.com/quote/SPY211008C00426000?p=SPY211008C00426000" TargetMode="External"/><Relationship Id="rId11" Type="http://schemas.openxmlformats.org/officeDocument/2006/relationships/hyperlink" Target="https://finance.yahoo.com/quote/SPY/options?date=1632960000&amp;straddle=false" TargetMode="External"/><Relationship Id="rId32" Type="http://schemas.openxmlformats.org/officeDocument/2006/relationships/hyperlink" Target="https://finance.yahoo.com/quote/SPY211217C00426000?p=SPY211217C00426000" TargetMode="External"/><Relationship Id="rId37" Type="http://schemas.openxmlformats.org/officeDocument/2006/relationships/hyperlink" Target="https://finance.yahoo.com/quote/SPY/options?date=1642723200&amp;straddle=false" TargetMode="External"/><Relationship Id="rId53" Type="http://schemas.openxmlformats.org/officeDocument/2006/relationships/hyperlink" Target="https://finance.yahoo.com/quote/SPY/options?date=1632700800&amp;straddle=false" TargetMode="External"/><Relationship Id="rId58" Type="http://schemas.openxmlformats.org/officeDocument/2006/relationships/hyperlink" Target="https://finance.yahoo.com/quote/SPY211001P00426000?p=SPY211001P00426000" TargetMode="External"/><Relationship Id="rId74" Type="http://schemas.openxmlformats.org/officeDocument/2006/relationships/hyperlink" Target="https://finance.yahoo.com/quote/SPY211020P00426000?p=SPY211020P00426000" TargetMode="External"/><Relationship Id="rId79" Type="http://schemas.openxmlformats.org/officeDocument/2006/relationships/hyperlink" Target="https://finance.yahoo.com/quote/SPY/options?date=1635465600&amp;straddle=false" TargetMode="External"/><Relationship Id="rId5" Type="http://schemas.openxmlformats.org/officeDocument/2006/relationships/hyperlink" Target="https://finance.yahoo.com/quote/SPY/options?date=1632441600&amp;straddle=false" TargetMode="External"/><Relationship Id="rId90" Type="http://schemas.openxmlformats.org/officeDocument/2006/relationships/hyperlink" Target="https://finance.yahoo.com/quote/SPY220318P00426000?p=SPY220318P00426000" TargetMode="External"/><Relationship Id="rId95" Type="http://schemas.openxmlformats.org/officeDocument/2006/relationships/hyperlink" Target="https://finance.yahoo.com/quote/SPY/options?date=1655424000&amp;straddle=false" TargetMode="External"/><Relationship Id="rId22" Type="http://schemas.openxmlformats.org/officeDocument/2006/relationships/hyperlink" Target="https://finance.yahoo.com/quote/SPY211015C00426000?p=SPY211015C00426000" TargetMode="External"/><Relationship Id="rId27" Type="http://schemas.openxmlformats.org/officeDocument/2006/relationships/hyperlink" Target="https://finance.yahoo.com/quote/SPY/options?date=1634860800&amp;straddle=false" TargetMode="External"/><Relationship Id="rId43" Type="http://schemas.openxmlformats.org/officeDocument/2006/relationships/hyperlink" Target="https://finance.yahoo.com/quote/SPY/options?date=1648684800&amp;straddle=false" TargetMode="External"/><Relationship Id="rId48" Type="http://schemas.openxmlformats.org/officeDocument/2006/relationships/hyperlink" Target="https://finance.yahoo.com/quote/SPY210922P00426000?p=SPY210922P00426000" TargetMode="External"/><Relationship Id="rId64" Type="http://schemas.openxmlformats.org/officeDocument/2006/relationships/hyperlink" Target="https://finance.yahoo.com/quote/SPY211008P00426000?p=SPY211008P00426000" TargetMode="External"/><Relationship Id="rId69" Type="http://schemas.openxmlformats.org/officeDocument/2006/relationships/hyperlink" Target="https://finance.yahoo.com/quote/SPY/options?date=1634083200&amp;straddle=false" TargetMode="External"/><Relationship Id="rId80" Type="http://schemas.openxmlformats.org/officeDocument/2006/relationships/hyperlink" Target="https://finance.yahoo.com/quote/SPY211119P00426000?p=SPY211119P00426000" TargetMode="External"/><Relationship Id="rId85" Type="http://schemas.openxmlformats.org/officeDocument/2006/relationships/hyperlink" Target="https://finance.yahoo.com/quote/SPY/options?date=1640908800&amp;straddle=false" TargetMode="External"/><Relationship Id="rId3" Type="http://schemas.openxmlformats.org/officeDocument/2006/relationships/hyperlink" Target="https://finance.yahoo.com/quote/SPY/options?date=1632268800&amp;straddle=false" TargetMode="External"/><Relationship Id="rId12" Type="http://schemas.openxmlformats.org/officeDocument/2006/relationships/hyperlink" Target="https://finance.yahoo.com/quote/SPY211001C00426000?p=SPY211001C00426000" TargetMode="External"/><Relationship Id="rId17" Type="http://schemas.openxmlformats.org/officeDocument/2006/relationships/hyperlink" Target="https://finance.yahoo.com/quote/SPY/options?date=1633651200&amp;straddle=false" TargetMode="External"/><Relationship Id="rId25" Type="http://schemas.openxmlformats.org/officeDocument/2006/relationships/hyperlink" Target="https://finance.yahoo.com/quote/SPY/options?date=1634515200&amp;straddle=false" TargetMode="External"/><Relationship Id="rId33" Type="http://schemas.openxmlformats.org/officeDocument/2006/relationships/hyperlink" Target="https://finance.yahoo.com/quote/SPY/options?date=1639699200&amp;straddle=false" TargetMode="External"/><Relationship Id="rId38" Type="http://schemas.openxmlformats.org/officeDocument/2006/relationships/hyperlink" Target="https://finance.yahoo.com/quote/SPY220218C00426000?p=SPY220218C00426000" TargetMode="External"/><Relationship Id="rId46" Type="http://schemas.openxmlformats.org/officeDocument/2006/relationships/hyperlink" Target="https://finance.yahoo.com/quote/SPY220630C00426000?p=SPY220630C00426000" TargetMode="External"/><Relationship Id="rId59" Type="http://schemas.openxmlformats.org/officeDocument/2006/relationships/hyperlink" Target="https://finance.yahoo.com/quote/SPY/options?date=1633046400&amp;straddle=false" TargetMode="External"/><Relationship Id="rId67" Type="http://schemas.openxmlformats.org/officeDocument/2006/relationships/hyperlink" Target="https://finance.yahoo.com/quote/SPY/options?date=1633910400&amp;straddle=false" TargetMode="External"/><Relationship Id="rId20" Type="http://schemas.openxmlformats.org/officeDocument/2006/relationships/hyperlink" Target="https://finance.yahoo.com/quote/SPY211013C00426000?p=SPY211013C00426000" TargetMode="External"/><Relationship Id="rId41" Type="http://schemas.openxmlformats.org/officeDocument/2006/relationships/hyperlink" Target="https://finance.yahoo.com/quote/SPY/options?date=1647561600&amp;straddle=false" TargetMode="External"/><Relationship Id="rId54" Type="http://schemas.openxmlformats.org/officeDocument/2006/relationships/hyperlink" Target="https://finance.yahoo.com/quote/SPY210929P00426000?p=SPY210929P00426000" TargetMode="External"/><Relationship Id="rId62" Type="http://schemas.openxmlformats.org/officeDocument/2006/relationships/hyperlink" Target="https://finance.yahoo.com/quote/SPY211006P00426000?p=SPY211006P00426000" TargetMode="External"/><Relationship Id="rId70" Type="http://schemas.openxmlformats.org/officeDocument/2006/relationships/hyperlink" Target="https://finance.yahoo.com/quote/SPY211015P00426000?p=SPY211015P00426000" TargetMode="External"/><Relationship Id="rId75" Type="http://schemas.openxmlformats.org/officeDocument/2006/relationships/hyperlink" Target="https://finance.yahoo.com/quote/SPY/options?date=1634688000&amp;straddle=false" TargetMode="External"/><Relationship Id="rId83" Type="http://schemas.openxmlformats.org/officeDocument/2006/relationships/hyperlink" Target="https://finance.yahoo.com/quote/SPY/options?date=1639699200&amp;straddle=false" TargetMode="External"/><Relationship Id="rId88" Type="http://schemas.openxmlformats.org/officeDocument/2006/relationships/hyperlink" Target="https://finance.yahoo.com/quote/SPY220218P00426000?p=SPY220218P00426000" TargetMode="External"/><Relationship Id="rId91" Type="http://schemas.openxmlformats.org/officeDocument/2006/relationships/hyperlink" Target="https://finance.yahoo.com/quote/SPY/options?date=1647561600&amp;straddle=false" TargetMode="External"/><Relationship Id="rId96" Type="http://schemas.openxmlformats.org/officeDocument/2006/relationships/hyperlink" Target="https://finance.yahoo.com/quote/SPY220630P00426000?p=SPY220630P00426000" TargetMode="External"/><Relationship Id="rId1" Type="http://schemas.openxmlformats.org/officeDocument/2006/relationships/hyperlink" Target="https://finance.yahoo.com/quote/SPY/options?straddle=false" TargetMode="External"/><Relationship Id="rId6" Type="http://schemas.openxmlformats.org/officeDocument/2006/relationships/hyperlink" Target="https://finance.yahoo.com/quote/SPY210927C00426000?p=SPY210927C00426000" TargetMode="External"/><Relationship Id="rId15" Type="http://schemas.openxmlformats.org/officeDocument/2006/relationships/hyperlink" Target="https://finance.yahoo.com/quote/SPY/options?date=1633305600&amp;straddle=false" TargetMode="External"/><Relationship Id="rId23" Type="http://schemas.openxmlformats.org/officeDocument/2006/relationships/hyperlink" Target="https://finance.yahoo.com/quote/SPY/options?date=1634256000&amp;straddle=false" TargetMode="External"/><Relationship Id="rId28" Type="http://schemas.openxmlformats.org/officeDocument/2006/relationships/hyperlink" Target="https://finance.yahoo.com/quote/SPY211029C00426000?p=SPY211029C00426000" TargetMode="External"/><Relationship Id="rId36" Type="http://schemas.openxmlformats.org/officeDocument/2006/relationships/hyperlink" Target="https://finance.yahoo.com/quote/SPY220121C00426000?p=SPY220121C00426000" TargetMode="External"/><Relationship Id="rId49" Type="http://schemas.openxmlformats.org/officeDocument/2006/relationships/hyperlink" Target="https://finance.yahoo.com/quote/SPY/options?date=1632268800&amp;straddle=false" TargetMode="External"/><Relationship Id="rId57" Type="http://schemas.openxmlformats.org/officeDocument/2006/relationships/hyperlink" Target="https://finance.yahoo.com/quote/SPY/options?date=1632960000&amp;straddle=false" TargetMode="External"/><Relationship Id="rId10" Type="http://schemas.openxmlformats.org/officeDocument/2006/relationships/hyperlink" Target="https://finance.yahoo.com/quote/SPY210930C00426000?p=SPY210930C00426000" TargetMode="External"/><Relationship Id="rId31" Type="http://schemas.openxmlformats.org/officeDocument/2006/relationships/hyperlink" Target="https://finance.yahoo.com/quote/SPY/options?date=1637280000&amp;straddle=false" TargetMode="External"/><Relationship Id="rId44" Type="http://schemas.openxmlformats.org/officeDocument/2006/relationships/hyperlink" Target="https://finance.yahoo.com/quote/SPY220617C00426000?p=SPY220617C00426000" TargetMode="External"/><Relationship Id="rId52" Type="http://schemas.openxmlformats.org/officeDocument/2006/relationships/hyperlink" Target="https://finance.yahoo.com/quote/SPY210927P00426000?p=SPY210927P00426000" TargetMode="External"/><Relationship Id="rId60" Type="http://schemas.openxmlformats.org/officeDocument/2006/relationships/hyperlink" Target="https://finance.yahoo.com/quote/SPY211004P00426000?p=SPY211004P00426000" TargetMode="External"/><Relationship Id="rId65" Type="http://schemas.openxmlformats.org/officeDocument/2006/relationships/hyperlink" Target="https://finance.yahoo.com/quote/SPY/options?date=1633651200&amp;straddle=false" TargetMode="External"/><Relationship Id="rId73" Type="http://schemas.openxmlformats.org/officeDocument/2006/relationships/hyperlink" Target="https://finance.yahoo.com/quote/SPY/options?date=1634515200&amp;straddle=false" TargetMode="External"/><Relationship Id="rId78" Type="http://schemas.openxmlformats.org/officeDocument/2006/relationships/hyperlink" Target="https://finance.yahoo.com/quote/SPY211029P00426000?p=SPY211029P00426000" TargetMode="External"/><Relationship Id="rId81" Type="http://schemas.openxmlformats.org/officeDocument/2006/relationships/hyperlink" Target="https://finance.yahoo.com/quote/SPY/options?date=1637280000&amp;straddle=false" TargetMode="External"/><Relationship Id="rId86" Type="http://schemas.openxmlformats.org/officeDocument/2006/relationships/hyperlink" Target="https://finance.yahoo.com/quote/SPY220121P00426000?p=SPY220121P00426000" TargetMode="External"/><Relationship Id="rId94" Type="http://schemas.openxmlformats.org/officeDocument/2006/relationships/hyperlink" Target="https://finance.yahoo.com/quote/SPY220617P00426000?p=SPY220617P00426000" TargetMode="External"/><Relationship Id="rId99" Type="http://schemas.openxmlformats.org/officeDocument/2006/relationships/hyperlink" Target="https://finance.yahoo.com/quote/SPY/options?date=1663286400&amp;straddle=false" TargetMode="External"/><Relationship Id="rId4" Type="http://schemas.openxmlformats.org/officeDocument/2006/relationships/hyperlink" Target="https://finance.yahoo.com/quote/SPY210924C00426000?p=SPY210924C00426000" TargetMode="External"/><Relationship Id="rId9" Type="http://schemas.openxmlformats.org/officeDocument/2006/relationships/hyperlink" Target="https://finance.yahoo.com/quote/SPY/options?date=1632873600&amp;straddle=false" TargetMode="External"/><Relationship Id="rId13" Type="http://schemas.openxmlformats.org/officeDocument/2006/relationships/hyperlink" Target="https://finance.yahoo.com/quote/SPY/options?date=1633046400&amp;straddle=false" TargetMode="External"/><Relationship Id="rId18" Type="http://schemas.openxmlformats.org/officeDocument/2006/relationships/hyperlink" Target="https://finance.yahoo.com/quote/SPY211011C00426000?p=SPY211011C00426000" TargetMode="External"/><Relationship Id="rId39" Type="http://schemas.openxmlformats.org/officeDocument/2006/relationships/hyperlink" Target="https://finance.yahoo.com/quote/SPY/options?date=1645142400&amp;straddle=false" TargetMode="External"/><Relationship Id="rId34" Type="http://schemas.openxmlformats.org/officeDocument/2006/relationships/hyperlink" Target="https://finance.yahoo.com/quote/SPY211231C00426000?p=SPY211231C00426000" TargetMode="External"/><Relationship Id="rId50" Type="http://schemas.openxmlformats.org/officeDocument/2006/relationships/hyperlink" Target="https://finance.yahoo.com/quote/SPY210924P00426000?p=SPY210924P00426000" TargetMode="External"/><Relationship Id="rId55" Type="http://schemas.openxmlformats.org/officeDocument/2006/relationships/hyperlink" Target="https://finance.yahoo.com/quote/SPY/options?date=1632873600&amp;straddle=false" TargetMode="External"/><Relationship Id="rId76" Type="http://schemas.openxmlformats.org/officeDocument/2006/relationships/hyperlink" Target="https://finance.yahoo.com/quote/SPY211022P00426000?p=SPY211022P00426000" TargetMode="External"/><Relationship Id="rId97" Type="http://schemas.openxmlformats.org/officeDocument/2006/relationships/hyperlink" Target="https://finance.yahoo.com/quote/SPY/options?date=1656547200&amp;straddle=false" TargetMode="External"/><Relationship Id="rId7" Type="http://schemas.openxmlformats.org/officeDocument/2006/relationships/hyperlink" Target="https://finance.yahoo.com/quote/SPY/options?date=1632700800&amp;straddle=false" TargetMode="External"/><Relationship Id="rId71" Type="http://schemas.openxmlformats.org/officeDocument/2006/relationships/hyperlink" Target="https://finance.yahoo.com/quote/SPY/options?date=1634256000&amp;straddle=false" TargetMode="External"/><Relationship Id="rId92" Type="http://schemas.openxmlformats.org/officeDocument/2006/relationships/hyperlink" Target="https://finance.yahoo.com/quote/SPY220331P00426000?p=SPY220331P00426000" TargetMode="External"/><Relationship Id="rId2" Type="http://schemas.openxmlformats.org/officeDocument/2006/relationships/hyperlink" Target="https://finance.yahoo.com/quote/SPY210922C00426000?p=SPY210922C00426000" TargetMode="External"/><Relationship Id="rId29" Type="http://schemas.openxmlformats.org/officeDocument/2006/relationships/hyperlink" Target="https://finance.yahoo.com/quote/SPY/options?date=1635465600&amp;straddle=false" TargetMode="External"/><Relationship Id="rId24" Type="http://schemas.openxmlformats.org/officeDocument/2006/relationships/hyperlink" Target="https://finance.yahoo.com/quote/SPY211018C00426000?p=SPY211018C00426000" TargetMode="External"/><Relationship Id="rId40" Type="http://schemas.openxmlformats.org/officeDocument/2006/relationships/hyperlink" Target="https://finance.yahoo.com/quote/SPY220318C00426000?p=SPY220318C00426000" TargetMode="External"/><Relationship Id="rId45" Type="http://schemas.openxmlformats.org/officeDocument/2006/relationships/hyperlink" Target="https://finance.yahoo.com/quote/SPY/options?date=1655424000&amp;straddle=false" TargetMode="External"/><Relationship Id="rId66" Type="http://schemas.openxmlformats.org/officeDocument/2006/relationships/hyperlink" Target="https://finance.yahoo.com/quote/SPY211011P00426000?p=SPY211011P00426000" TargetMode="External"/><Relationship Id="rId87" Type="http://schemas.openxmlformats.org/officeDocument/2006/relationships/hyperlink" Target="https://finance.yahoo.com/quote/SPY/options?date=1642723200&amp;straddle=false" TargetMode="External"/><Relationship Id="rId61" Type="http://schemas.openxmlformats.org/officeDocument/2006/relationships/hyperlink" Target="https://finance.yahoo.com/quote/SPY/options?date=1633305600&amp;straddle=false" TargetMode="External"/><Relationship Id="rId82" Type="http://schemas.openxmlformats.org/officeDocument/2006/relationships/hyperlink" Target="https://finance.yahoo.com/quote/SPY211217P00426000?p=SPY211217P00426000" TargetMode="External"/><Relationship Id="rId19" Type="http://schemas.openxmlformats.org/officeDocument/2006/relationships/hyperlink" Target="https://finance.yahoo.com/quote/SPY/options?date=1633910400&amp;straddle=false" TargetMode="External"/><Relationship Id="rId14" Type="http://schemas.openxmlformats.org/officeDocument/2006/relationships/hyperlink" Target="https://finance.yahoo.com/quote/SPY211004C00426000?p=SPY211004C00426000" TargetMode="External"/><Relationship Id="rId30" Type="http://schemas.openxmlformats.org/officeDocument/2006/relationships/hyperlink" Target="https://finance.yahoo.com/quote/SPY211119C00426000?p=SPY211119C00426000" TargetMode="External"/><Relationship Id="rId35" Type="http://schemas.openxmlformats.org/officeDocument/2006/relationships/hyperlink" Target="https://finance.yahoo.com/quote/SPY/options?date=1640908800&amp;straddle=false" TargetMode="External"/><Relationship Id="rId56" Type="http://schemas.openxmlformats.org/officeDocument/2006/relationships/hyperlink" Target="https://finance.yahoo.com/quote/SPY210930P00426000?p=SPY210930P00426000" TargetMode="External"/><Relationship Id="rId77" Type="http://schemas.openxmlformats.org/officeDocument/2006/relationships/hyperlink" Target="https://finance.yahoo.com/quote/SPY/options?date=1634860800&amp;straddle=false" TargetMode="External"/><Relationship Id="rId8" Type="http://schemas.openxmlformats.org/officeDocument/2006/relationships/hyperlink" Target="https://finance.yahoo.com/quote/SPY210929C00426000?p=SPY210929C00426000" TargetMode="External"/><Relationship Id="rId51" Type="http://schemas.openxmlformats.org/officeDocument/2006/relationships/hyperlink" Target="https://finance.yahoo.com/quote/SPY/options?date=1632441600&amp;straddle=false" TargetMode="External"/><Relationship Id="rId72" Type="http://schemas.openxmlformats.org/officeDocument/2006/relationships/hyperlink" Target="https://finance.yahoo.com/quote/SPY211018P00426000?p=SPY211018P00426000" TargetMode="External"/><Relationship Id="rId93" Type="http://schemas.openxmlformats.org/officeDocument/2006/relationships/hyperlink" Target="https://finance.yahoo.com/quote/SPY/options?date=1648684800&amp;straddle=false" TargetMode="External"/><Relationship Id="rId98" Type="http://schemas.openxmlformats.org/officeDocument/2006/relationships/hyperlink" Target="https://finance.yahoo.com/quote/SPY220916P00426000?p=SPY220916P0042600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yahoo.com/quote/SPY/options?date=1655424000&amp;straddle=false" TargetMode="External"/><Relationship Id="rId21" Type="http://schemas.openxmlformats.org/officeDocument/2006/relationships/hyperlink" Target="https://finance.yahoo.com/quote/SPY/options?date=1633910400&amp;straddle=false" TargetMode="External"/><Relationship Id="rId42" Type="http://schemas.openxmlformats.org/officeDocument/2006/relationships/hyperlink" Target="https://finance.yahoo.com/quote/SPY220121C00430000?p=SPY220121C00430000" TargetMode="External"/><Relationship Id="rId63" Type="http://schemas.openxmlformats.org/officeDocument/2006/relationships/hyperlink" Target="https://finance.yahoo.com/quote/SPY/options?date=1686873600&amp;straddle=false" TargetMode="External"/><Relationship Id="rId84" Type="http://schemas.openxmlformats.org/officeDocument/2006/relationships/hyperlink" Target="https://finance.yahoo.com/quote/SPY211008P00430000?p=SPY211008P00430000" TargetMode="External"/><Relationship Id="rId16" Type="http://schemas.openxmlformats.org/officeDocument/2006/relationships/hyperlink" Target="https://finance.yahoo.com/quote/SPY211006C00430000?p=SPY211006C00430000" TargetMode="External"/><Relationship Id="rId107" Type="http://schemas.openxmlformats.org/officeDocument/2006/relationships/hyperlink" Target="https://finance.yahoo.com/quote/SPY/options?date=1640908800&amp;straddle=false" TargetMode="External"/><Relationship Id="rId11" Type="http://schemas.openxmlformats.org/officeDocument/2006/relationships/hyperlink" Target="https://finance.yahoo.com/quote/SPY/options?date=1632960000&amp;straddle=false" TargetMode="External"/><Relationship Id="rId32" Type="http://schemas.openxmlformats.org/officeDocument/2006/relationships/hyperlink" Target="https://finance.yahoo.com/quote/SPY211025C00430000?p=SPY211025C00430000" TargetMode="External"/><Relationship Id="rId37" Type="http://schemas.openxmlformats.org/officeDocument/2006/relationships/hyperlink" Target="https://finance.yahoo.com/quote/SPY/options?date=1637280000&amp;straddle=false" TargetMode="External"/><Relationship Id="rId53" Type="http://schemas.openxmlformats.org/officeDocument/2006/relationships/hyperlink" Target="https://finance.yahoo.com/quote/SPY/options?date=1656547200&amp;straddle=false" TargetMode="External"/><Relationship Id="rId58" Type="http://schemas.openxmlformats.org/officeDocument/2006/relationships/hyperlink" Target="https://finance.yahoo.com/quote/SPY230120C00430000?p=SPY230120C00430000" TargetMode="External"/><Relationship Id="rId74" Type="http://schemas.openxmlformats.org/officeDocument/2006/relationships/hyperlink" Target="https://finance.yahoo.com/quote/SPY210929P00430000?p=SPY210929P00430000" TargetMode="External"/><Relationship Id="rId79" Type="http://schemas.openxmlformats.org/officeDocument/2006/relationships/hyperlink" Target="https://finance.yahoo.com/quote/SPY/options?date=1633046400&amp;straddle=false" TargetMode="External"/><Relationship Id="rId102" Type="http://schemas.openxmlformats.org/officeDocument/2006/relationships/hyperlink" Target="https://finance.yahoo.com/quote/SPY211119P00430000?p=SPY211119P00430000" TargetMode="External"/><Relationship Id="rId123" Type="http://schemas.openxmlformats.org/officeDocument/2006/relationships/hyperlink" Target="https://finance.yahoo.com/quote/SPY/options?date=1671148800&amp;straddle=false" TargetMode="External"/><Relationship Id="rId128" Type="http://schemas.openxmlformats.org/officeDocument/2006/relationships/hyperlink" Target="https://finance.yahoo.com/quote/SPY230616P00430000?p=SPY230616P00430000" TargetMode="External"/><Relationship Id="rId5" Type="http://schemas.openxmlformats.org/officeDocument/2006/relationships/hyperlink" Target="https://finance.yahoo.com/quote/SPY/options?date=1632441600&amp;straddle=false" TargetMode="External"/><Relationship Id="rId90" Type="http://schemas.openxmlformats.org/officeDocument/2006/relationships/hyperlink" Target="https://finance.yahoo.com/quote/SPY211015P00430000?p=SPY211015P00430000" TargetMode="External"/><Relationship Id="rId95" Type="http://schemas.openxmlformats.org/officeDocument/2006/relationships/hyperlink" Target="https://finance.yahoo.com/quote/SPY/options?date=1634688000&amp;straddle=false" TargetMode="External"/><Relationship Id="rId22" Type="http://schemas.openxmlformats.org/officeDocument/2006/relationships/hyperlink" Target="https://finance.yahoo.com/quote/SPY211013C00430000?p=SPY211013C00430000" TargetMode="External"/><Relationship Id="rId27" Type="http://schemas.openxmlformats.org/officeDocument/2006/relationships/hyperlink" Target="https://finance.yahoo.com/quote/SPY/options?date=1634515200&amp;straddle=false" TargetMode="External"/><Relationship Id="rId43" Type="http://schemas.openxmlformats.org/officeDocument/2006/relationships/hyperlink" Target="https://finance.yahoo.com/quote/SPY/options?date=1642723200&amp;straddle=false" TargetMode="External"/><Relationship Id="rId48" Type="http://schemas.openxmlformats.org/officeDocument/2006/relationships/hyperlink" Target="https://finance.yahoo.com/quote/SPY220331C00430000?p=SPY220331C00430000" TargetMode="External"/><Relationship Id="rId64" Type="http://schemas.openxmlformats.org/officeDocument/2006/relationships/hyperlink" Target="https://finance.yahoo.com/quote/SPY231215C00430000?p=SPY231215C00430000" TargetMode="External"/><Relationship Id="rId69" Type="http://schemas.openxmlformats.org/officeDocument/2006/relationships/hyperlink" Target="https://finance.yahoo.com/quote/SPY/options?date=1632268800&amp;straddle=false" TargetMode="External"/><Relationship Id="rId113" Type="http://schemas.openxmlformats.org/officeDocument/2006/relationships/hyperlink" Target="https://finance.yahoo.com/quote/SPY/options?date=1647561600&amp;straddle=false" TargetMode="External"/><Relationship Id="rId118" Type="http://schemas.openxmlformats.org/officeDocument/2006/relationships/hyperlink" Target="https://finance.yahoo.com/quote/SPY220630P00430000?p=SPY220630P00430000" TargetMode="External"/><Relationship Id="rId134" Type="http://schemas.openxmlformats.org/officeDocument/2006/relationships/drawing" Target="../drawings/drawing3.xml"/><Relationship Id="rId80" Type="http://schemas.openxmlformats.org/officeDocument/2006/relationships/hyperlink" Target="https://finance.yahoo.com/quote/SPY211004P00430000?p=SPY211004P00430000" TargetMode="External"/><Relationship Id="rId85" Type="http://schemas.openxmlformats.org/officeDocument/2006/relationships/hyperlink" Target="https://finance.yahoo.com/quote/SPY/options?date=1633651200&amp;straddle=false" TargetMode="External"/><Relationship Id="rId12" Type="http://schemas.openxmlformats.org/officeDocument/2006/relationships/hyperlink" Target="https://finance.yahoo.com/quote/SPY211001C00430000?p=SPY211001C00430000" TargetMode="External"/><Relationship Id="rId17" Type="http://schemas.openxmlformats.org/officeDocument/2006/relationships/hyperlink" Target="https://finance.yahoo.com/quote/SPY/options?date=1633478400&amp;straddle=false" TargetMode="External"/><Relationship Id="rId33" Type="http://schemas.openxmlformats.org/officeDocument/2006/relationships/hyperlink" Target="https://finance.yahoo.com/quote/SPY/options?date=1635120000&amp;straddle=false" TargetMode="External"/><Relationship Id="rId38" Type="http://schemas.openxmlformats.org/officeDocument/2006/relationships/hyperlink" Target="https://finance.yahoo.com/quote/SPY211217C00430000?p=SPY211217C00430000" TargetMode="External"/><Relationship Id="rId59" Type="http://schemas.openxmlformats.org/officeDocument/2006/relationships/hyperlink" Target="https://finance.yahoo.com/quote/SPY/options?date=1674172800&amp;straddle=false" TargetMode="External"/><Relationship Id="rId103" Type="http://schemas.openxmlformats.org/officeDocument/2006/relationships/hyperlink" Target="https://finance.yahoo.com/quote/SPY/options?date=1637280000&amp;straddle=false" TargetMode="External"/><Relationship Id="rId108" Type="http://schemas.openxmlformats.org/officeDocument/2006/relationships/hyperlink" Target="https://finance.yahoo.com/quote/SPY220121P00430000?p=SPY220121P00430000" TargetMode="External"/><Relationship Id="rId124" Type="http://schemas.openxmlformats.org/officeDocument/2006/relationships/hyperlink" Target="https://finance.yahoo.com/quote/SPY230120P00430000?p=SPY230120P00430000" TargetMode="External"/><Relationship Id="rId129" Type="http://schemas.openxmlformats.org/officeDocument/2006/relationships/hyperlink" Target="https://finance.yahoo.com/quote/SPY/options?date=1686873600&amp;straddle=false" TargetMode="External"/><Relationship Id="rId54" Type="http://schemas.openxmlformats.org/officeDocument/2006/relationships/hyperlink" Target="https://finance.yahoo.com/quote/SPY220916C00430000?p=SPY220916C00430000" TargetMode="External"/><Relationship Id="rId70" Type="http://schemas.openxmlformats.org/officeDocument/2006/relationships/hyperlink" Target="https://finance.yahoo.com/quote/SPY210924P00430000?p=SPY210924P00430000" TargetMode="External"/><Relationship Id="rId75" Type="http://schemas.openxmlformats.org/officeDocument/2006/relationships/hyperlink" Target="https://finance.yahoo.com/quote/SPY/options?date=1632873600&amp;straddle=false" TargetMode="External"/><Relationship Id="rId91" Type="http://schemas.openxmlformats.org/officeDocument/2006/relationships/hyperlink" Target="https://finance.yahoo.com/quote/SPY/options?date=1634256000&amp;straddle=false" TargetMode="External"/><Relationship Id="rId96" Type="http://schemas.openxmlformats.org/officeDocument/2006/relationships/hyperlink" Target="https://finance.yahoo.com/quote/SPY211022P00430000?p=SPY211022P00430000" TargetMode="External"/><Relationship Id="rId1" Type="http://schemas.openxmlformats.org/officeDocument/2006/relationships/hyperlink" Target="https://finance.yahoo.com/quote/SPY/options?straddle=false" TargetMode="External"/><Relationship Id="rId6" Type="http://schemas.openxmlformats.org/officeDocument/2006/relationships/hyperlink" Target="https://finance.yahoo.com/quote/SPY210927C00430000?p=SPY210927C00430000" TargetMode="External"/><Relationship Id="rId23" Type="http://schemas.openxmlformats.org/officeDocument/2006/relationships/hyperlink" Target="https://finance.yahoo.com/quote/SPY/options?date=1634083200&amp;straddle=false" TargetMode="External"/><Relationship Id="rId28" Type="http://schemas.openxmlformats.org/officeDocument/2006/relationships/hyperlink" Target="https://finance.yahoo.com/quote/SPY211020C00430000?p=SPY211020C00430000" TargetMode="External"/><Relationship Id="rId49" Type="http://schemas.openxmlformats.org/officeDocument/2006/relationships/hyperlink" Target="https://finance.yahoo.com/quote/SPY/options?date=1648684800&amp;straddle=false" TargetMode="External"/><Relationship Id="rId114" Type="http://schemas.openxmlformats.org/officeDocument/2006/relationships/hyperlink" Target="https://finance.yahoo.com/quote/SPY220331P00430000?p=SPY220331P00430000" TargetMode="External"/><Relationship Id="rId119" Type="http://schemas.openxmlformats.org/officeDocument/2006/relationships/hyperlink" Target="https://finance.yahoo.com/quote/SPY/options?date=1656547200&amp;straddle=false" TargetMode="External"/><Relationship Id="rId44" Type="http://schemas.openxmlformats.org/officeDocument/2006/relationships/hyperlink" Target="https://finance.yahoo.com/quote/SPY220218C00430000?p=SPY220218C00430000" TargetMode="External"/><Relationship Id="rId60" Type="http://schemas.openxmlformats.org/officeDocument/2006/relationships/hyperlink" Target="https://finance.yahoo.com/quote/SPY230317C00430000?p=SPY230317C00430000" TargetMode="External"/><Relationship Id="rId65" Type="http://schemas.openxmlformats.org/officeDocument/2006/relationships/hyperlink" Target="https://finance.yahoo.com/quote/SPY/options?date=1702598400&amp;straddle=false" TargetMode="External"/><Relationship Id="rId81" Type="http://schemas.openxmlformats.org/officeDocument/2006/relationships/hyperlink" Target="https://finance.yahoo.com/quote/SPY/options?date=1633305600&amp;straddle=false" TargetMode="External"/><Relationship Id="rId86" Type="http://schemas.openxmlformats.org/officeDocument/2006/relationships/hyperlink" Target="https://finance.yahoo.com/quote/SPY211011P00430000?p=SPY211011P00430000" TargetMode="External"/><Relationship Id="rId130" Type="http://schemas.openxmlformats.org/officeDocument/2006/relationships/hyperlink" Target="https://finance.yahoo.com/quote/SPY231215P00430000?p=SPY231215P00430000" TargetMode="External"/><Relationship Id="rId13" Type="http://schemas.openxmlformats.org/officeDocument/2006/relationships/hyperlink" Target="https://finance.yahoo.com/quote/SPY/options?date=1633046400&amp;straddle=false" TargetMode="External"/><Relationship Id="rId18" Type="http://schemas.openxmlformats.org/officeDocument/2006/relationships/hyperlink" Target="https://finance.yahoo.com/quote/SPY211008C00430000?p=SPY211008C00430000" TargetMode="External"/><Relationship Id="rId39" Type="http://schemas.openxmlformats.org/officeDocument/2006/relationships/hyperlink" Target="https://finance.yahoo.com/quote/SPY/options?date=1639699200&amp;straddle=false" TargetMode="External"/><Relationship Id="rId109" Type="http://schemas.openxmlformats.org/officeDocument/2006/relationships/hyperlink" Target="https://finance.yahoo.com/quote/SPY/options?date=1642723200&amp;straddle=false" TargetMode="External"/><Relationship Id="rId34" Type="http://schemas.openxmlformats.org/officeDocument/2006/relationships/hyperlink" Target="https://finance.yahoo.com/quote/SPY211029C00430000?p=SPY211029C00430000" TargetMode="External"/><Relationship Id="rId50" Type="http://schemas.openxmlformats.org/officeDocument/2006/relationships/hyperlink" Target="https://finance.yahoo.com/quote/SPY220617C00430000?p=SPY220617C00430000" TargetMode="External"/><Relationship Id="rId55" Type="http://schemas.openxmlformats.org/officeDocument/2006/relationships/hyperlink" Target="https://finance.yahoo.com/quote/SPY/options?date=1663286400&amp;straddle=false" TargetMode="External"/><Relationship Id="rId76" Type="http://schemas.openxmlformats.org/officeDocument/2006/relationships/hyperlink" Target="https://finance.yahoo.com/quote/SPY210930P00430000?p=SPY210930P00430000" TargetMode="External"/><Relationship Id="rId97" Type="http://schemas.openxmlformats.org/officeDocument/2006/relationships/hyperlink" Target="https://finance.yahoo.com/quote/SPY/options?date=1634860800&amp;straddle=false" TargetMode="External"/><Relationship Id="rId104" Type="http://schemas.openxmlformats.org/officeDocument/2006/relationships/hyperlink" Target="https://finance.yahoo.com/quote/SPY211217P00430000?p=SPY211217P00430000" TargetMode="External"/><Relationship Id="rId120" Type="http://schemas.openxmlformats.org/officeDocument/2006/relationships/hyperlink" Target="https://finance.yahoo.com/quote/SPY220916P00430000?p=SPY220916P00430000" TargetMode="External"/><Relationship Id="rId125" Type="http://schemas.openxmlformats.org/officeDocument/2006/relationships/hyperlink" Target="https://finance.yahoo.com/quote/SPY/options?date=1674172800&amp;straddle=false" TargetMode="External"/><Relationship Id="rId7" Type="http://schemas.openxmlformats.org/officeDocument/2006/relationships/hyperlink" Target="https://finance.yahoo.com/quote/SPY/options?date=1632700800&amp;straddle=false" TargetMode="External"/><Relationship Id="rId71" Type="http://schemas.openxmlformats.org/officeDocument/2006/relationships/hyperlink" Target="https://finance.yahoo.com/quote/SPY/options?date=1632441600&amp;straddle=false" TargetMode="External"/><Relationship Id="rId92" Type="http://schemas.openxmlformats.org/officeDocument/2006/relationships/hyperlink" Target="https://finance.yahoo.com/quote/SPY211018P00430000?p=SPY211018P00430000" TargetMode="External"/><Relationship Id="rId2" Type="http://schemas.openxmlformats.org/officeDocument/2006/relationships/hyperlink" Target="https://finance.yahoo.com/quote/SPY210922C00430000?p=SPY210922C00430000" TargetMode="External"/><Relationship Id="rId29" Type="http://schemas.openxmlformats.org/officeDocument/2006/relationships/hyperlink" Target="https://finance.yahoo.com/quote/SPY/options?date=1634688000&amp;straddle=false" TargetMode="External"/><Relationship Id="rId24" Type="http://schemas.openxmlformats.org/officeDocument/2006/relationships/hyperlink" Target="https://finance.yahoo.com/quote/SPY211015C00430000?p=SPY211015C00430000" TargetMode="External"/><Relationship Id="rId40" Type="http://schemas.openxmlformats.org/officeDocument/2006/relationships/hyperlink" Target="https://finance.yahoo.com/quote/SPY211231C00430000?p=SPY211231C00430000" TargetMode="External"/><Relationship Id="rId45" Type="http://schemas.openxmlformats.org/officeDocument/2006/relationships/hyperlink" Target="https://finance.yahoo.com/quote/SPY/options?date=1645142400&amp;straddle=false" TargetMode="External"/><Relationship Id="rId66" Type="http://schemas.openxmlformats.org/officeDocument/2006/relationships/hyperlink" Target="https://finance.yahoo.com/quote/SPY240119C00430000?p=SPY240119C00430000" TargetMode="External"/><Relationship Id="rId87" Type="http://schemas.openxmlformats.org/officeDocument/2006/relationships/hyperlink" Target="https://finance.yahoo.com/quote/SPY/options?date=1633910400&amp;straddle=false" TargetMode="External"/><Relationship Id="rId110" Type="http://schemas.openxmlformats.org/officeDocument/2006/relationships/hyperlink" Target="https://finance.yahoo.com/quote/SPY220218P00430000?p=SPY220218P00430000" TargetMode="External"/><Relationship Id="rId115" Type="http://schemas.openxmlformats.org/officeDocument/2006/relationships/hyperlink" Target="https://finance.yahoo.com/quote/SPY/options?date=1648684800&amp;straddle=false" TargetMode="External"/><Relationship Id="rId131" Type="http://schemas.openxmlformats.org/officeDocument/2006/relationships/hyperlink" Target="https://finance.yahoo.com/quote/SPY/options?date=1702598400&amp;straddle=false" TargetMode="External"/><Relationship Id="rId61" Type="http://schemas.openxmlformats.org/officeDocument/2006/relationships/hyperlink" Target="https://finance.yahoo.com/quote/SPY/options?date=1679011200&amp;straddle=false" TargetMode="External"/><Relationship Id="rId82" Type="http://schemas.openxmlformats.org/officeDocument/2006/relationships/hyperlink" Target="https://finance.yahoo.com/quote/SPY211006P00430000?p=SPY211006P00430000" TargetMode="External"/><Relationship Id="rId19" Type="http://schemas.openxmlformats.org/officeDocument/2006/relationships/hyperlink" Target="https://finance.yahoo.com/quote/SPY/options?date=1633651200&amp;straddle=false" TargetMode="External"/><Relationship Id="rId14" Type="http://schemas.openxmlformats.org/officeDocument/2006/relationships/hyperlink" Target="https://finance.yahoo.com/quote/SPY211004C00430000?p=SPY211004C00430000" TargetMode="External"/><Relationship Id="rId30" Type="http://schemas.openxmlformats.org/officeDocument/2006/relationships/hyperlink" Target="https://finance.yahoo.com/quote/SPY211022C00430000?p=SPY211022C00430000" TargetMode="External"/><Relationship Id="rId35" Type="http://schemas.openxmlformats.org/officeDocument/2006/relationships/hyperlink" Target="https://finance.yahoo.com/quote/SPY/options?date=1635465600&amp;straddle=false" TargetMode="External"/><Relationship Id="rId56" Type="http://schemas.openxmlformats.org/officeDocument/2006/relationships/hyperlink" Target="https://finance.yahoo.com/quote/SPY221216C00430000?p=SPY221216C00430000" TargetMode="External"/><Relationship Id="rId77" Type="http://schemas.openxmlformats.org/officeDocument/2006/relationships/hyperlink" Target="https://finance.yahoo.com/quote/SPY/options?date=1632960000&amp;straddle=false" TargetMode="External"/><Relationship Id="rId100" Type="http://schemas.openxmlformats.org/officeDocument/2006/relationships/hyperlink" Target="https://finance.yahoo.com/quote/SPY211029P00430000?p=SPY211029P00430000" TargetMode="External"/><Relationship Id="rId105" Type="http://schemas.openxmlformats.org/officeDocument/2006/relationships/hyperlink" Target="https://finance.yahoo.com/quote/SPY/options?date=1639699200&amp;straddle=false" TargetMode="External"/><Relationship Id="rId126" Type="http://schemas.openxmlformats.org/officeDocument/2006/relationships/hyperlink" Target="https://finance.yahoo.com/quote/SPY230317P00430000?p=SPY230317P00430000" TargetMode="External"/><Relationship Id="rId8" Type="http://schemas.openxmlformats.org/officeDocument/2006/relationships/hyperlink" Target="https://finance.yahoo.com/quote/SPY210929C00430000?p=SPY210929C00430000" TargetMode="External"/><Relationship Id="rId51" Type="http://schemas.openxmlformats.org/officeDocument/2006/relationships/hyperlink" Target="https://finance.yahoo.com/quote/SPY/options?date=1655424000&amp;straddle=false" TargetMode="External"/><Relationship Id="rId72" Type="http://schemas.openxmlformats.org/officeDocument/2006/relationships/hyperlink" Target="https://finance.yahoo.com/quote/SPY210927P00430000?p=SPY210927P00430000" TargetMode="External"/><Relationship Id="rId93" Type="http://schemas.openxmlformats.org/officeDocument/2006/relationships/hyperlink" Target="https://finance.yahoo.com/quote/SPY/options?date=1634515200&amp;straddle=false" TargetMode="External"/><Relationship Id="rId98" Type="http://schemas.openxmlformats.org/officeDocument/2006/relationships/hyperlink" Target="https://finance.yahoo.com/quote/SPY211025P00430000?p=SPY211025P00430000" TargetMode="External"/><Relationship Id="rId121" Type="http://schemas.openxmlformats.org/officeDocument/2006/relationships/hyperlink" Target="https://finance.yahoo.com/quote/SPY/options?date=1663286400&amp;straddle=false" TargetMode="External"/><Relationship Id="rId3" Type="http://schemas.openxmlformats.org/officeDocument/2006/relationships/hyperlink" Target="https://finance.yahoo.com/quote/SPY/options?date=1632268800&amp;straddle=false" TargetMode="External"/><Relationship Id="rId25" Type="http://schemas.openxmlformats.org/officeDocument/2006/relationships/hyperlink" Target="https://finance.yahoo.com/quote/SPY/options?date=1634256000&amp;straddle=false" TargetMode="External"/><Relationship Id="rId46" Type="http://schemas.openxmlformats.org/officeDocument/2006/relationships/hyperlink" Target="https://finance.yahoo.com/quote/SPY220318C00430000?p=SPY220318C00430000" TargetMode="External"/><Relationship Id="rId67" Type="http://schemas.openxmlformats.org/officeDocument/2006/relationships/hyperlink" Target="https://finance.yahoo.com/quote/SPY/options?date=1705622400&amp;straddle=false" TargetMode="External"/><Relationship Id="rId116" Type="http://schemas.openxmlformats.org/officeDocument/2006/relationships/hyperlink" Target="https://finance.yahoo.com/quote/SPY220617P00430000?p=SPY220617P00430000" TargetMode="External"/><Relationship Id="rId20" Type="http://schemas.openxmlformats.org/officeDocument/2006/relationships/hyperlink" Target="https://finance.yahoo.com/quote/SPY211011C00430000?p=SPY211011C00430000" TargetMode="External"/><Relationship Id="rId41" Type="http://schemas.openxmlformats.org/officeDocument/2006/relationships/hyperlink" Target="https://finance.yahoo.com/quote/SPY/options?date=1640908800&amp;straddle=false" TargetMode="External"/><Relationship Id="rId62" Type="http://schemas.openxmlformats.org/officeDocument/2006/relationships/hyperlink" Target="https://finance.yahoo.com/quote/SPY230616C00430000?p=SPY230616C00430000" TargetMode="External"/><Relationship Id="rId83" Type="http://schemas.openxmlformats.org/officeDocument/2006/relationships/hyperlink" Target="https://finance.yahoo.com/quote/SPY/options?date=1633478400&amp;straddle=false" TargetMode="External"/><Relationship Id="rId88" Type="http://schemas.openxmlformats.org/officeDocument/2006/relationships/hyperlink" Target="https://finance.yahoo.com/quote/SPY211013P00430000?p=SPY211013P00430000" TargetMode="External"/><Relationship Id="rId111" Type="http://schemas.openxmlformats.org/officeDocument/2006/relationships/hyperlink" Target="https://finance.yahoo.com/quote/SPY/options?date=1645142400&amp;straddle=false" TargetMode="External"/><Relationship Id="rId132" Type="http://schemas.openxmlformats.org/officeDocument/2006/relationships/hyperlink" Target="https://finance.yahoo.com/quote/SPY240119P00430000?p=SPY240119P00430000" TargetMode="External"/><Relationship Id="rId15" Type="http://schemas.openxmlformats.org/officeDocument/2006/relationships/hyperlink" Target="https://finance.yahoo.com/quote/SPY/options?date=1633305600&amp;straddle=false" TargetMode="External"/><Relationship Id="rId36" Type="http://schemas.openxmlformats.org/officeDocument/2006/relationships/hyperlink" Target="https://finance.yahoo.com/quote/SPY211119C00430000?p=SPY211119C00430000" TargetMode="External"/><Relationship Id="rId57" Type="http://schemas.openxmlformats.org/officeDocument/2006/relationships/hyperlink" Target="https://finance.yahoo.com/quote/SPY/options?date=1671148800&amp;straddle=false" TargetMode="External"/><Relationship Id="rId106" Type="http://schemas.openxmlformats.org/officeDocument/2006/relationships/hyperlink" Target="https://finance.yahoo.com/quote/SPY211231P00430000?p=SPY211231P00430000" TargetMode="External"/><Relationship Id="rId127" Type="http://schemas.openxmlformats.org/officeDocument/2006/relationships/hyperlink" Target="https://finance.yahoo.com/quote/SPY/options?date=1679011200&amp;straddle=false" TargetMode="External"/><Relationship Id="rId10" Type="http://schemas.openxmlformats.org/officeDocument/2006/relationships/hyperlink" Target="https://finance.yahoo.com/quote/SPY210930C00430000?p=SPY210930C00430000" TargetMode="External"/><Relationship Id="rId31" Type="http://schemas.openxmlformats.org/officeDocument/2006/relationships/hyperlink" Target="https://finance.yahoo.com/quote/SPY/options?date=1634860800&amp;straddle=false" TargetMode="External"/><Relationship Id="rId52" Type="http://schemas.openxmlformats.org/officeDocument/2006/relationships/hyperlink" Target="https://finance.yahoo.com/quote/SPY220630C00430000?p=SPY220630C00430000" TargetMode="External"/><Relationship Id="rId73" Type="http://schemas.openxmlformats.org/officeDocument/2006/relationships/hyperlink" Target="https://finance.yahoo.com/quote/SPY/options?date=1632700800&amp;straddle=false" TargetMode="External"/><Relationship Id="rId78" Type="http://schemas.openxmlformats.org/officeDocument/2006/relationships/hyperlink" Target="https://finance.yahoo.com/quote/SPY211001P00430000?p=SPY211001P00430000" TargetMode="External"/><Relationship Id="rId94" Type="http://schemas.openxmlformats.org/officeDocument/2006/relationships/hyperlink" Target="https://finance.yahoo.com/quote/SPY211020P00430000?p=SPY211020P00430000" TargetMode="External"/><Relationship Id="rId99" Type="http://schemas.openxmlformats.org/officeDocument/2006/relationships/hyperlink" Target="https://finance.yahoo.com/quote/SPY/options?date=1635120000&amp;straddle=false" TargetMode="External"/><Relationship Id="rId101" Type="http://schemas.openxmlformats.org/officeDocument/2006/relationships/hyperlink" Target="https://finance.yahoo.com/quote/SPY/options?date=1635465600&amp;straddle=false" TargetMode="External"/><Relationship Id="rId122" Type="http://schemas.openxmlformats.org/officeDocument/2006/relationships/hyperlink" Target="https://finance.yahoo.com/quote/SPY221216P00430000?p=SPY221216P00430000" TargetMode="External"/><Relationship Id="rId4" Type="http://schemas.openxmlformats.org/officeDocument/2006/relationships/hyperlink" Target="https://finance.yahoo.com/quote/SPY210924C00430000?p=SPY210924C00430000" TargetMode="External"/><Relationship Id="rId9" Type="http://schemas.openxmlformats.org/officeDocument/2006/relationships/hyperlink" Target="https://finance.yahoo.com/quote/SPY/options?date=1632873600&amp;straddle=false" TargetMode="External"/><Relationship Id="rId26" Type="http://schemas.openxmlformats.org/officeDocument/2006/relationships/hyperlink" Target="https://finance.yahoo.com/quote/SPY211018C00430000?p=SPY211018C00430000" TargetMode="External"/><Relationship Id="rId47" Type="http://schemas.openxmlformats.org/officeDocument/2006/relationships/hyperlink" Target="https://finance.yahoo.com/quote/SPY/options?date=1647561600&amp;straddle=false" TargetMode="External"/><Relationship Id="rId68" Type="http://schemas.openxmlformats.org/officeDocument/2006/relationships/hyperlink" Target="https://finance.yahoo.com/quote/SPY210922P00430000?p=SPY210922P00430000" TargetMode="External"/><Relationship Id="rId89" Type="http://schemas.openxmlformats.org/officeDocument/2006/relationships/hyperlink" Target="https://finance.yahoo.com/quote/SPY/options?date=1634083200&amp;straddle=false" TargetMode="External"/><Relationship Id="rId112" Type="http://schemas.openxmlformats.org/officeDocument/2006/relationships/hyperlink" Target="https://finance.yahoo.com/quote/SPY220318P00430000?p=SPY220318P00430000" TargetMode="External"/><Relationship Id="rId133" Type="http://schemas.openxmlformats.org/officeDocument/2006/relationships/hyperlink" Target="https://finance.yahoo.com/quote/SPY/options?date=1705622400&amp;straddle=false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finance.yahoo.com/quote/SPY211018C00434000?p=SPY211018C00434000" TargetMode="External"/><Relationship Id="rId21" Type="http://schemas.openxmlformats.org/officeDocument/2006/relationships/hyperlink" Target="https://finance.yahoo.com/quote/SPY/options?date=1633910400&amp;straddle=false" TargetMode="External"/><Relationship Id="rId42" Type="http://schemas.openxmlformats.org/officeDocument/2006/relationships/hyperlink" Target="https://finance.yahoo.com/quote/SPY220218C00434000?p=SPY220218C00434000" TargetMode="External"/><Relationship Id="rId47" Type="http://schemas.openxmlformats.org/officeDocument/2006/relationships/hyperlink" Target="https://finance.yahoo.com/quote/SPY/options?date=1648684800&amp;straddle=false" TargetMode="External"/><Relationship Id="rId63" Type="http://schemas.openxmlformats.org/officeDocument/2006/relationships/hyperlink" Target="https://finance.yahoo.com/quote/SPY/options?date=1632960000&amp;straddle=false" TargetMode="External"/><Relationship Id="rId68" Type="http://schemas.openxmlformats.org/officeDocument/2006/relationships/hyperlink" Target="https://finance.yahoo.com/quote/SPY211006P00434000?p=SPY211006P00434000" TargetMode="External"/><Relationship Id="rId84" Type="http://schemas.openxmlformats.org/officeDocument/2006/relationships/hyperlink" Target="https://finance.yahoo.com/quote/SPY211029P00434000?p=SPY211029P00434000" TargetMode="External"/><Relationship Id="rId89" Type="http://schemas.openxmlformats.org/officeDocument/2006/relationships/hyperlink" Target="https://finance.yahoo.com/quote/SPY/options?date=1639699200&amp;straddle=false" TargetMode="External"/><Relationship Id="rId16" Type="http://schemas.openxmlformats.org/officeDocument/2006/relationships/hyperlink" Target="https://finance.yahoo.com/quote/SPY211006C00434000?p=SPY211006C00434000" TargetMode="External"/><Relationship Id="rId11" Type="http://schemas.openxmlformats.org/officeDocument/2006/relationships/hyperlink" Target="https://finance.yahoo.com/quote/SPY/options?date=1632960000&amp;straddle=false" TargetMode="External"/><Relationship Id="rId32" Type="http://schemas.openxmlformats.org/officeDocument/2006/relationships/hyperlink" Target="https://finance.yahoo.com/quote/SPY211029C00434000?p=SPY211029C00434000" TargetMode="External"/><Relationship Id="rId37" Type="http://schemas.openxmlformats.org/officeDocument/2006/relationships/hyperlink" Target="https://finance.yahoo.com/quote/SPY/options?date=1639699200&amp;straddle=false" TargetMode="External"/><Relationship Id="rId53" Type="http://schemas.openxmlformats.org/officeDocument/2006/relationships/hyperlink" Target="https://finance.yahoo.com/quote/SPY/options?date=1663286400&amp;straddle=false" TargetMode="External"/><Relationship Id="rId58" Type="http://schemas.openxmlformats.org/officeDocument/2006/relationships/hyperlink" Target="https://finance.yahoo.com/quote/SPY210927P00434000?p=SPY210927P00434000" TargetMode="External"/><Relationship Id="rId74" Type="http://schemas.openxmlformats.org/officeDocument/2006/relationships/hyperlink" Target="https://finance.yahoo.com/quote/SPY211013P00434000?p=SPY211013P00434000" TargetMode="External"/><Relationship Id="rId79" Type="http://schemas.openxmlformats.org/officeDocument/2006/relationships/hyperlink" Target="https://finance.yahoo.com/quote/SPY/options?date=1634515200&amp;straddle=false" TargetMode="External"/><Relationship Id="rId102" Type="http://schemas.openxmlformats.org/officeDocument/2006/relationships/hyperlink" Target="https://finance.yahoo.com/quote/SPY220630P00434000?p=SPY220630P00434000" TargetMode="External"/><Relationship Id="rId5" Type="http://schemas.openxmlformats.org/officeDocument/2006/relationships/hyperlink" Target="https://finance.yahoo.com/quote/SPY/options?date=1632441600&amp;straddle=false" TargetMode="External"/><Relationship Id="rId90" Type="http://schemas.openxmlformats.org/officeDocument/2006/relationships/hyperlink" Target="https://finance.yahoo.com/quote/SPY211231P00434000?p=SPY211231P00434000" TargetMode="External"/><Relationship Id="rId95" Type="http://schemas.openxmlformats.org/officeDocument/2006/relationships/hyperlink" Target="https://finance.yahoo.com/quote/SPY/options?date=1645142400&amp;straddle=false" TargetMode="External"/><Relationship Id="rId22" Type="http://schemas.openxmlformats.org/officeDocument/2006/relationships/hyperlink" Target="https://finance.yahoo.com/quote/SPY211013C00434000?p=SPY211013C00434000" TargetMode="External"/><Relationship Id="rId27" Type="http://schemas.openxmlformats.org/officeDocument/2006/relationships/hyperlink" Target="https://finance.yahoo.com/quote/SPY/options?date=1634515200&amp;straddle=false" TargetMode="External"/><Relationship Id="rId43" Type="http://schemas.openxmlformats.org/officeDocument/2006/relationships/hyperlink" Target="https://finance.yahoo.com/quote/SPY/options?date=1645142400&amp;straddle=false" TargetMode="External"/><Relationship Id="rId48" Type="http://schemas.openxmlformats.org/officeDocument/2006/relationships/hyperlink" Target="https://finance.yahoo.com/quote/SPY220617C00434000?p=SPY220617C00434000" TargetMode="External"/><Relationship Id="rId64" Type="http://schemas.openxmlformats.org/officeDocument/2006/relationships/hyperlink" Target="https://finance.yahoo.com/quote/SPY211001P00434000?p=SPY211001P00434000" TargetMode="External"/><Relationship Id="rId69" Type="http://schemas.openxmlformats.org/officeDocument/2006/relationships/hyperlink" Target="https://finance.yahoo.com/quote/SPY/options?date=1633478400&amp;straddle=false" TargetMode="External"/><Relationship Id="rId80" Type="http://schemas.openxmlformats.org/officeDocument/2006/relationships/hyperlink" Target="https://finance.yahoo.com/quote/SPY211020P00434000?p=SPY211020P00434000" TargetMode="External"/><Relationship Id="rId85" Type="http://schemas.openxmlformats.org/officeDocument/2006/relationships/hyperlink" Target="https://finance.yahoo.com/quote/SPY/options?date=1635465600&amp;straddle=false" TargetMode="External"/><Relationship Id="rId12" Type="http://schemas.openxmlformats.org/officeDocument/2006/relationships/hyperlink" Target="https://finance.yahoo.com/quote/SPY211001C00434000?p=SPY211001C00434000" TargetMode="External"/><Relationship Id="rId17" Type="http://schemas.openxmlformats.org/officeDocument/2006/relationships/hyperlink" Target="https://finance.yahoo.com/quote/SPY/options?date=1633478400&amp;straddle=false" TargetMode="External"/><Relationship Id="rId25" Type="http://schemas.openxmlformats.org/officeDocument/2006/relationships/hyperlink" Target="https://finance.yahoo.com/quote/SPY/options?date=1634256000&amp;straddle=false" TargetMode="External"/><Relationship Id="rId33" Type="http://schemas.openxmlformats.org/officeDocument/2006/relationships/hyperlink" Target="https://finance.yahoo.com/quote/SPY/options?date=1635465600&amp;straddle=false" TargetMode="External"/><Relationship Id="rId38" Type="http://schemas.openxmlformats.org/officeDocument/2006/relationships/hyperlink" Target="https://finance.yahoo.com/quote/SPY211231C00434000?p=SPY211231C00434000" TargetMode="External"/><Relationship Id="rId46" Type="http://schemas.openxmlformats.org/officeDocument/2006/relationships/hyperlink" Target="https://finance.yahoo.com/quote/SPY220331C00434000?p=SPY220331C00434000" TargetMode="External"/><Relationship Id="rId59" Type="http://schemas.openxmlformats.org/officeDocument/2006/relationships/hyperlink" Target="https://finance.yahoo.com/quote/SPY/options?date=1632700800&amp;straddle=false" TargetMode="External"/><Relationship Id="rId67" Type="http://schemas.openxmlformats.org/officeDocument/2006/relationships/hyperlink" Target="https://finance.yahoo.com/quote/SPY/options?date=1633305600&amp;straddle=false" TargetMode="External"/><Relationship Id="rId103" Type="http://schemas.openxmlformats.org/officeDocument/2006/relationships/hyperlink" Target="https://finance.yahoo.com/quote/SPY/options?date=1656547200&amp;straddle=false" TargetMode="External"/><Relationship Id="rId20" Type="http://schemas.openxmlformats.org/officeDocument/2006/relationships/hyperlink" Target="https://finance.yahoo.com/quote/SPY211011C00434000?p=SPY211011C00434000" TargetMode="External"/><Relationship Id="rId41" Type="http://schemas.openxmlformats.org/officeDocument/2006/relationships/hyperlink" Target="https://finance.yahoo.com/quote/SPY/options?date=1642723200&amp;straddle=false" TargetMode="External"/><Relationship Id="rId54" Type="http://schemas.openxmlformats.org/officeDocument/2006/relationships/hyperlink" Target="https://finance.yahoo.com/quote/SPY210922P00434000?p=SPY210922P00434000" TargetMode="External"/><Relationship Id="rId62" Type="http://schemas.openxmlformats.org/officeDocument/2006/relationships/hyperlink" Target="https://finance.yahoo.com/quote/SPY210930P00434000?p=SPY210930P00434000" TargetMode="External"/><Relationship Id="rId70" Type="http://schemas.openxmlformats.org/officeDocument/2006/relationships/hyperlink" Target="https://finance.yahoo.com/quote/SPY211008P00434000?p=SPY211008P00434000" TargetMode="External"/><Relationship Id="rId75" Type="http://schemas.openxmlformats.org/officeDocument/2006/relationships/hyperlink" Target="https://finance.yahoo.com/quote/SPY/options?date=1634083200&amp;straddle=false" TargetMode="External"/><Relationship Id="rId83" Type="http://schemas.openxmlformats.org/officeDocument/2006/relationships/hyperlink" Target="https://finance.yahoo.com/quote/SPY/options?date=1634860800&amp;straddle=false" TargetMode="External"/><Relationship Id="rId88" Type="http://schemas.openxmlformats.org/officeDocument/2006/relationships/hyperlink" Target="https://finance.yahoo.com/quote/SPY211217P00434000?p=SPY211217P00434000" TargetMode="External"/><Relationship Id="rId91" Type="http://schemas.openxmlformats.org/officeDocument/2006/relationships/hyperlink" Target="https://finance.yahoo.com/quote/SPY/options?date=1640908800&amp;straddle=false" TargetMode="External"/><Relationship Id="rId96" Type="http://schemas.openxmlformats.org/officeDocument/2006/relationships/hyperlink" Target="https://finance.yahoo.com/quote/SPY220318P00434000?p=SPY220318P00434000" TargetMode="External"/><Relationship Id="rId1" Type="http://schemas.openxmlformats.org/officeDocument/2006/relationships/hyperlink" Target="https://finance.yahoo.com/quote/SPY/options?straddle=false" TargetMode="External"/><Relationship Id="rId6" Type="http://schemas.openxmlformats.org/officeDocument/2006/relationships/hyperlink" Target="https://finance.yahoo.com/quote/SPY210927C00434000?p=SPY210927C00434000" TargetMode="External"/><Relationship Id="rId15" Type="http://schemas.openxmlformats.org/officeDocument/2006/relationships/hyperlink" Target="https://finance.yahoo.com/quote/SPY/options?date=1633305600&amp;straddle=false" TargetMode="External"/><Relationship Id="rId23" Type="http://schemas.openxmlformats.org/officeDocument/2006/relationships/hyperlink" Target="https://finance.yahoo.com/quote/SPY/options?date=1634083200&amp;straddle=false" TargetMode="External"/><Relationship Id="rId28" Type="http://schemas.openxmlformats.org/officeDocument/2006/relationships/hyperlink" Target="https://finance.yahoo.com/quote/SPY211020C00434000?p=SPY211020C00434000" TargetMode="External"/><Relationship Id="rId36" Type="http://schemas.openxmlformats.org/officeDocument/2006/relationships/hyperlink" Target="https://finance.yahoo.com/quote/SPY211217C00434000?p=SPY211217C00434000" TargetMode="External"/><Relationship Id="rId49" Type="http://schemas.openxmlformats.org/officeDocument/2006/relationships/hyperlink" Target="https://finance.yahoo.com/quote/SPY/options?date=1655424000&amp;straddle=false" TargetMode="External"/><Relationship Id="rId57" Type="http://schemas.openxmlformats.org/officeDocument/2006/relationships/hyperlink" Target="https://finance.yahoo.com/quote/SPY/options?date=1632441600&amp;straddle=false" TargetMode="External"/><Relationship Id="rId10" Type="http://schemas.openxmlformats.org/officeDocument/2006/relationships/hyperlink" Target="https://finance.yahoo.com/quote/SPY210930C00434000?p=SPY210930C00434000" TargetMode="External"/><Relationship Id="rId31" Type="http://schemas.openxmlformats.org/officeDocument/2006/relationships/hyperlink" Target="https://finance.yahoo.com/quote/SPY/options?date=1634860800&amp;straddle=false" TargetMode="External"/><Relationship Id="rId44" Type="http://schemas.openxmlformats.org/officeDocument/2006/relationships/hyperlink" Target="https://finance.yahoo.com/quote/SPY220318C00434000?p=SPY220318C00434000" TargetMode="External"/><Relationship Id="rId52" Type="http://schemas.openxmlformats.org/officeDocument/2006/relationships/hyperlink" Target="https://finance.yahoo.com/quote/SPY220916C00434000?p=SPY220916C00434000" TargetMode="External"/><Relationship Id="rId60" Type="http://schemas.openxmlformats.org/officeDocument/2006/relationships/hyperlink" Target="https://finance.yahoo.com/quote/SPY210929P00434000?p=SPY210929P00434000" TargetMode="External"/><Relationship Id="rId65" Type="http://schemas.openxmlformats.org/officeDocument/2006/relationships/hyperlink" Target="https://finance.yahoo.com/quote/SPY/options?date=1633046400&amp;straddle=false" TargetMode="External"/><Relationship Id="rId73" Type="http://schemas.openxmlformats.org/officeDocument/2006/relationships/hyperlink" Target="https://finance.yahoo.com/quote/SPY/options?date=1633910400&amp;straddle=false" TargetMode="External"/><Relationship Id="rId78" Type="http://schemas.openxmlformats.org/officeDocument/2006/relationships/hyperlink" Target="https://finance.yahoo.com/quote/SPY211018P00434000?p=SPY211018P00434000" TargetMode="External"/><Relationship Id="rId81" Type="http://schemas.openxmlformats.org/officeDocument/2006/relationships/hyperlink" Target="https://finance.yahoo.com/quote/SPY/options?date=1634688000&amp;straddle=false" TargetMode="External"/><Relationship Id="rId86" Type="http://schemas.openxmlformats.org/officeDocument/2006/relationships/hyperlink" Target="https://finance.yahoo.com/quote/SPY211119P00434000?p=SPY211119P00434000" TargetMode="External"/><Relationship Id="rId94" Type="http://schemas.openxmlformats.org/officeDocument/2006/relationships/hyperlink" Target="https://finance.yahoo.com/quote/SPY220218P00434000?p=SPY220218P00434000" TargetMode="External"/><Relationship Id="rId99" Type="http://schemas.openxmlformats.org/officeDocument/2006/relationships/hyperlink" Target="https://finance.yahoo.com/quote/SPY/options?date=1648684800&amp;straddle=false" TargetMode="External"/><Relationship Id="rId101" Type="http://schemas.openxmlformats.org/officeDocument/2006/relationships/hyperlink" Target="https://finance.yahoo.com/quote/SPY/options?date=1655424000&amp;straddle=false" TargetMode="External"/><Relationship Id="rId4" Type="http://schemas.openxmlformats.org/officeDocument/2006/relationships/hyperlink" Target="https://finance.yahoo.com/quote/SPY210924C00434000?p=SPY210924C00434000" TargetMode="External"/><Relationship Id="rId9" Type="http://schemas.openxmlformats.org/officeDocument/2006/relationships/hyperlink" Target="https://finance.yahoo.com/quote/SPY/options?date=1632873600&amp;straddle=false" TargetMode="External"/><Relationship Id="rId13" Type="http://schemas.openxmlformats.org/officeDocument/2006/relationships/hyperlink" Target="https://finance.yahoo.com/quote/SPY/options?date=1633046400&amp;straddle=false" TargetMode="External"/><Relationship Id="rId18" Type="http://schemas.openxmlformats.org/officeDocument/2006/relationships/hyperlink" Target="https://finance.yahoo.com/quote/SPY211008C00434000?p=SPY211008C00434000" TargetMode="External"/><Relationship Id="rId39" Type="http://schemas.openxmlformats.org/officeDocument/2006/relationships/hyperlink" Target="https://finance.yahoo.com/quote/SPY/options?date=1640908800&amp;straddle=false" TargetMode="External"/><Relationship Id="rId34" Type="http://schemas.openxmlformats.org/officeDocument/2006/relationships/hyperlink" Target="https://finance.yahoo.com/quote/SPY211119C00434000?p=SPY211119C00434000" TargetMode="External"/><Relationship Id="rId50" Type="http://schemas.openxmlformats.org/officeDocument/2006/relationships/hyperlink" Target="https://finance.yahoo.com/quote/SPY220630C00434000?p=SPY220630C00434000" TargetMode="External"/><Relationship Id="rId55" Type="http://schemas.openxmlformats.org/officeDocument/2006/relationships/hyperlink" Target="https://finance.yahoo.com/quote/SPY/options?date=1632268800&amp;straddle=false" TargetMode="External"/><Relationship Id="rId76" Type="http://schemas.openxmlformats.org/officeDocument/2006/relationships/hyperlink" Target="https://finance.yahoo.com/quote/SPY211015P00434000?p=SPY211015P00434000" TargetMode="External"/><Relationship Id="rId97" Type="http://schemas.openxmlformats.org/officeDocument/2006/relationships/hyperlink" Target="https://finance.yahoo.com/quote/SPY/options?date=1647561600&amp;straddle=false" TargetMode="External"/><Relationship Id="rId104" Type="http://schemas.openxmlformats.org/officeDocument/2006/relationships/drawing" Target="../drawings/drawing4.xml"/><Relationship Id="rId7" Type="http://schemas.openxmlformats.org/officeDocument/2006/relationships/hyperlink" Target="https://finance.yahoo.com/quote/SPY/options?date=1632700800&amp;straddle=false" TargetMode="External"/><Relationship Id="rId71" Type="http://schemas.openxmlformats.org/officeDocument/2006/relationships/hyperlink" Target="https://finance.yahoo.com/quote/SPY/options?date=1633651200&amp;straddle=false" TargetMode="External"/><Relationship Id="rId92" Type="http://schemas.openxmlformats.org/officeDocument/2006/relationships/hyperlink" Target="https://finance.yahoo.com/quote/SPY220121P00434000?p=SPY220121P00434000" TargetMode="External"/><Relationship Id="rId2" Type="http://schemas.openxmlformats.org/officeDocument/2006/relationships/hyperlink" Target="https://finance.yahoo.com/quote/SPY210922C00434000?p=SPY210922C00434000" TargetMode="External"/><Relationship Id="rId29" Type="http://schemas.openxmlformats.org/officeDocument/2006/relationships/hyperlink" Target="https://finance.yahoo.com/quote/SPY/options?date=1634688000&amp;straddle=false" TargetMode="External"/><Relationship Id="rId24" Type="http://schemas.openxmlformats.org/officeDocument/2006/relationships/hyperlink" Target="https://finance.yahoo.com/quote/SPY211015C00434000?p=SPY211015C00434000" TargetMode="External"/><Relationship Id="rId40" Type="http://schemas.openxmlformats.org/officeDocument/2006/relationships/hyperlink" Target="https://finance.yahoo.com/quote/SPY220121C00434000?p=SPY220121C00434000" TargetMode="External"/><Relationship Id="rId45" Type="http://schemas.openxmlformats.org/officeDocument/2006/relationships/hyperlink" Target="https://finance.yahoo.com/quote/SPY/options?date=1647561600&amp;straddle=false" TargetMode="External"/><Relationship Id="rId66" Type="http://schemas.openxmlformats.org/officeDocument/2006/relationships/hyperlink" Target="https://finance.yahoo.com/quote/SPY211004P00434000?p=SPY211004P00434000" TargetMode="External"/><Relationship Id="rId87" Type="http://schemas.openxmlformats.org/officeDocument/2006/relationships/hyperlink" Target="https://finance.yahoo.com/quote/SPY/options?date=1637280000&amp;straddle=false" TargetMode="External"/><Relationship Id="rId61" Type="http://schemas.openxmlformats.org/officeDocument/2006/relationships/hyperlink" Target="https://finance.yahoo.com/quote/SPY/options?date=1632873600&amp;straddle=false" TargetMode="External"/><Relationship Id="rId82" Type="http://schemas.openxmlformats.org/officeDocument/2006/relationships/hyperlink" Target="https://finance.yahoo.com/quote/SPY211022P00434000?p=SPY211022P00434000" TargetMode="External"/><Relationship Id="rId19" Type="http://schemas.openxmlformats.org/officeDocument/2006/relationships/hyperlink" Target="https://finance.yahoo.com/quote/SPY/options?date=1633651200&amp;straddle=false" TargetMode="External"/><Relationship Id="rId14" Type="http://schemas.openxmlformats.org/officeDocument/2006/relationships/hyperlink" Target="https://finance.yahoo.com/quote/SPY211004C00434000?p=SPY211004C00434000" TargetMode="External"/><Relationship Id="rId30" Type="http://schemas.openxmlformats.org/officeDocument/2006/relationships/hyperlink" Target="https://finance.yahoo.com/quote/SPY211022C00434000?p=SPY211022C00434000" TargetMode="External"/><Relationship Id="rId35" Type="http://schemas.openxmlformats.org/officeDocument/2006/relationships/hyperlink" Target="https://finance.yahoo.com/quote/SPY/options?date=1637280000&amp;straddle=false" TargetMode="External"/><Relationship Id="rId56" Type="http://schemas.openxmlformats.org/officeDocument/2006/relationships/hyperlink" Target="https://finance.yahoo.com/quote/SPY210924P00434000?p=SPY210924P00434000" TargetMode="External"/><Relationship Id="rId77" Type="http://schemas.openxmlformats.org/officeDocument/2006/relationships/hyperlink" Target="https://finance.yahoo.com/quote/SPY/options?date=1634256000&amp;straddle=false" TargetMode="External"/><Relationship Id="rId100" Type="http://schemas.openxmlformats.org/officeDocument/2006/relationships/hyperlink" Target="https://finance.yahoo.com/quote/SPY220617P00434000?p=SPY220617P00434000" TargetMode="External"/><Relationship Id="rId8" Type="http://schemas.openxmlformats.org/officeDocument/2006/relationships/hyperlink" Target="https://finance.yahoo.com/quote/SPY210929C00434000?p=SPY210929C00434000" TargetMode="External"/><Relationship Id="rId51" Type="http://schemas.openxmlformats.org/officeDocument/2006/relationships/hyperlink" Target="https://finance.yahoo.com/quote/SPY/options?date=1656547200&amp;straddle=false" TargetMode="External"/><Relationship Id="rId72" Type="http://schemas.openxmlformats.org/officeDocument/2006/relationships/hyperlink" Target="https://finance.yahoo.com/quote/SPY211011P00434000?p=SPY211011P00434000" TargetMode="External"/><Relationship Id="rId93" Type="http://schemas.openxmlformats.org/officeDocument/2006/relationships/hyperlink" Target="https://finance.yahoo.com/quote/SPY/options?date=1642723200&amp;straddle=false" TargetMode="External"/><Relationship Id="rId98" Type="http://schemas.openxmlformats.org/officeDocument/2006/relationships/hyperlink" Target="https://finance.yahoo.com/quote/SPY220331P00434000?p=SPY220331P00434000" TargetMode="External"/><Relationship Id="rId3" Type="http://schemas.openxmlformats.org/officeDocument/2006/relationships/hyperlink" Target="https://finance.yahoo.com/quote/SPY/options?date=1632268800&amp;straddle=false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finance.yahoo.com/quote/SPY211018C00438000?p=SPY211018C00438000" TargetMode="External"/><Relationship Id="rId21" Type="http://schemas.openxmlformats.org/officeDocument/2006/relationships/hyperlink" Target="https://finance.yahoo.com/quote/SPY/options?date=1633910400&amp;straddle=false" TargetMode="External"/><Relationship Id="rId42" Type="http://schemas.openxmlformats.org/officeDocument/2006/relationships/hyperlink" Target="https://finance.yahoo.com/quote/SPY220318C00438000?p=SPY220318C00438000" TargetMode="External"/><Relationship Id="rId47" Type="http://schemas.openxmlformats.org/officeDocument/2006/relationships/hyperlink" Target="https://finance.yahoo.com/quote/SPY/options?date=1655424000&amp;straddle=false" TargetMode="External"/><Relationship Id="rId63" Type="http://schemas.openxmlformats.org/officeDocument/2006/relationships/hyperlink" Target="https://finance.yahoo.com/quote/SPY/options?date=1633046400&amp;straddle=false" TargetMode="External"/><Relationship Id="rId68" Type="http://schemas.openxmlformats.org/officeDocument/2006/relationships/hyperlink" Target="https://finance.yahoo.com/quote/SPY211008P00438000?p=SPY211008P00438000" TargetMode="External"/><Relationship Id="rId84" Type="http://schemas.openxmlformats.org/officeDocument/2006/relationships/hyperlink" Target="https://finance.yahoo.com/quote/SPY211119P00438000?p=SPY211119P00438000" TargetMode="External"/><Relationship Id="rId89" Type="http://schemas.openxmlformats.org/officeDocument/2006/relationships/hyperlink" Target="https://finance.yahoo.com/quote/SPY/options?date=1640908800&amp;straddle=false" TargetMode="External"/><Relationship Id="rId16" Type="http://schemas.openxmlformats.org/officeDocument/2006/relationships/hyperlink" Target="https://finance.yahoo.com/quote/SPY211006C00438000?p=SPY211006C00438000" TargetMode="External"/><Relationship Id="rId11" Type="http://schemas.openxmlformats.org/officeDocument/2006/relationships/hyperlink" Target="https://finance.yahoo.com/quote/SPY/options?date=1632960000&amp;straddle=false" TargetMode="External"/><Relationship Id="rId32" Type="http://schemas.openxmlformats.org/officeDocument/2006/relationships/hyperlink" Target="https://finance.yahoo.com/quote/SPY211119C00438000?p=SPY211119C00438000" TargetMode="External"/><Relationship Id="rId37" Type="http://schemas.openxmlformats.org/officeDocument/2006/relationships/hyperlink" Target="https://finance.yahoo.com/quote/SPY/options?date=1640908800&amp;straddle=false" TargetMode="External"/><Relationship Id="rId53" Type="http://schemas.openxmlformats.org/officeDocument/2006/relationships/hyperlink" Target="https://finance.yahoo.com/quote/SPY/options?date=1632268800&amp;straddle=false" TargetMode="External"/><Relationship Id="rId58" Type="http://schemas.openxmlformats.org/officeDocument/2006/relationships/hyperlink" Target="https://finance.yahoo.com/quote/SPY210929P00438000?p=SPY210929P00438000" TargetMode="External"/><Relationship Id="rId74" Type="http://schemas.openxmlformats.org/officeDocument/2006/relationships/hyperlink" Target="https://finance.yahoo.com/quote/SPY211015P00438000?p=SPY211015P00438000" TargetMode="External"/><Relationship Id="rId79" Type="http://schemas.openxmlformats.org/officeDocument/2006/relationships/hyperlink" Target="https://finance.yahoo.com/quote/SPY/options?date=1634688000&amp;straddle=false" TargetMode="External"/><Relationship Id="rId102" Type="http://schemas.openxmlformats.org/officeDocument/2006/relationships/hyperlink" Target="https://finance.yahoo.com/quote/SPY220916P00438000?p=SPY220916P00438000" TargetMode="External"/><Relationship Id="rId5" Type="http://schemas.openxmlformats.org/officeDocument/2006/relationships/hyperlink" Target="https://finance.yahoo.com/quote/SPY/options?date=1632441600&amp;straddle=false" TargetMode="External"/><Relationship Id="rId90" Type="http://schemas.openxmlformats.org/officeDocument/2006/relationships/hyperlink" Target="https://finance.yahoo.com/quote/SPY220121P00438000?p=SPY220121P00438000" TargetMode="External"/><Relationship Id="rId95" Type="http://schemas.openxmlformats.org/officeDocument/2006/relationships/hyperlink" Target="https://finance.yahoo.com/quote/SPY/options?date=1647561600&amp;straddle=false" TargetMode="External"/><Relationship Id="rId22" Type="http://schemas.openxmlformats.org/officeDocument/2006/relationships/hyperlink" Target="https://finance.yahoo.com/quote/SPY211013C00438000?p=SPY211013C00438000" TargetMode="External"/><Relationship Id="rId27" Type="http://schemas.openxmlformats.org/officeDocument/2006/relationships/hyperlink" Target="https://finance.yahoo.com/quote/SPY/options?date=1634515200&amp;straddle=false" TargetMode="External"/><Relationship Id="rId43" Type="http://schemas.openxmlformats.org/officeDocument/2006/relationships/hyperlink" Target="https://finance.yahoo.com/quote/SPY/options?date=1647561600&amp;straddle=false" TargetMode="External"/><Relationship Id="rId48" Type="http://schemas.openxmlformats.org/officeDocument/2006/relationships/hyperlink" Target="https://finance.yahoo.com/quote/SPY220630C00438000?p=SPY220630C00438000" TargetMode="External"/><Relationship Id="rId64" Type="http://schemas.openxmlformats.org/officeDocument/2006/relationships/hyperlink" Target="https://finance.yahoo.com/quote/SPY211004P00438000?p=SPY211004P00438000" TargetMode="External"/><Relationship Id="rId69" Type="http://schemas.openxmlformats.org/officeDocument/2006/relationships/hyperlink" Target="https://finance.yahoo.com/quote/SPY/options?date=1633651200&amp;straddle=false" TargetMode="External"/><Relationship Id="rId80" Type="http://schemas.openxmlformats.org/officeDocument/2006/relationships/hyperlink" Target="https://finance.yahoo.com/quote/SPY211022P00438000?p=SPY211022P00438000" TargetMode="External"/><Relationship Id="rId85" Type="http://schemas.openxmlformats.org/officeDocument/2006/relationships/hyperlink" Target="https://finance.yahoo.com/quote/SPY/options?date=1637280000&amp;straddle=false" TargetMode="External"/><Relationship Id="rId12" Type="http://schemas.openxmlformats.org/officeDocument/2006/relationships/hyperlink" Target="https://finance.yahoo.com/quote/SPY211001C00438000?p=SPY211001C00438000" TargetMode="External"/><Relationship Id="rId17" Type="http://schemas.openxmlformats.org/officeDocument/2006/relationships/hyperlink" Target="https://finance.yahoo.com/quote/SPY/options?date=1633478400&amp;straddle=false" TargetMode="External"/><Relationship Id="rId25" Type="http://schemas.openxmlformats.org/officeDocument/2006/relationships/hyperlink" Target="https://finance.yahoo.com/quote/SPY/options?date=1634256000&amp;straddle=false" TargetMode="External"/><Relationship Id="rId33" Type="http://schemas.openxmlformats.org/officeDocument/2006/relationships/hyperlink" Target="https://finance.yahoo.com/quote/SPY/options?date=1637280000&amp;straddle=false" TargetMode="External"/><Relationship Id="rId38" Type="http://schemas.openxmlformats.org/officeDocument/2006/relationships/hyperlink" Target="https://finance.yahoo.com/quote/SPY220121C00438000?p=SPY220121C00438000" TargetMode="External"/><Relationship Id="rId46" Type="http://schemas.openxmlformats.org/officeDocument/2006/relationships/hyperlink" Target="https://finance.yahoo.com/quote/SPY220617C00438000?p=SPY220617C00438000" TargetMode="External"/><Relationship Id="rId59" Type="http://schemas.openxmlformats.org/officeDocument/2006/relationships/hyperlink" Target="https://finance.yahoo.com/quote/SPY/options?date=1632873600&amp;straddle=false" TargetMode="External"/><Relationship Id="rId67" Type="http://schemas.openxmlformats.org/officeDocument/2006/relationships/hyperlink" Target="https://finance.yahoo.com/quote/SPY/options?date=1633478400&amp;straddle=false" TargetMode="External"/><Relationship Id="rId103" Type="http://schemas.openxmlformats.org/officeDocument/2006/relationships/hyperlink" Target="https://finance.yahoo.com/quote/SPY/options?date=1663286400&amp;straddle=false" TargetMode="External"/><Relationship Id="rId20" Type="http://schemas.openxmlformats.org/officeDocument/2006/relationships/hyperlink" Target="https://finance.yahoo.com/quote/SPY211011C00438000?p=SPY211011C00438000" TargetMode="External"/><Relationship Id="rId41" Type="http://schemas.openxmlformats.org/officeDocument/2006/relationships/hyperlink" Target="https://finance.yahoo.com/quote/SPY/options?date=1645142400&amp;straddle=false" TargetMode="External"/><Relationship Id="rId54" Type="http://schemas.openxmlformats.org/officeDocument/2006/relationships/hyperlink" Target="https://finance.yahoo.com/quote/SPY210924P00438000?p=SPY210924P00438000" TargetMode="External"/><Relationship Id="rId62" Type="http://schemas.openxmlformats.org/officeDocument/2006/relationships/hyperlink" Target="https://finance.yahoo.com/quote/SPY211001P00438000?p=SPY211001P00438000" TargetMode="External"/><Relationship Id="rId70" Type="http://schemas.openxmlformats.org/officeDocument/2006/relationships/hyperlink" Target="https://finance.yahoo.com/quote/SPY211011P00438000?p=SPY211011P00438000" TargetMode="External"/><Relationship Id="rId75" Type="http://schemas.openxmlformats.org/officeDocument/2006/relationships/hyperlink" Target="https://finance.yahoo.com/quote/SPY/options?date=1634256000&amp;straddle=false" TargetMode="External"/><Relationship Id="rId83" Type="http://schemas.openxmlformats.org/officeDocument/2006/relationships/hyperlink" Target="https://finance.yahoo.com/quote/SPY/options?date=1635465600&amp;straddle=false" TargetMode="External"/><Relationship Id="rId88" Type="http://schemas.openxmlformats.org/officeDocument/2006/relationships/hyperlink" Target="https://finance.yahoo.com/quote/SPY211231P00438000?p=SPY211231P00438000" TargetMode="External"/><Relationship Id="rId91" Type="http://schemas.openxmlformats.org/officeDocument/2006/relationships/hyperlink" Target="https://finance.yahoo.com/quote/SPY/options?date=1642723200&amp;straddle=false" TargetMode="External"/><Relationship Id="rId96" Type="http://schemas.openxmlformats.org/officeDocument/2006/relationships/hyperlink" Target="https://finance.yahoo.com/quote/SPY220331P00438000?p=SPY220331P00438000" TargetMode="External"/><Relationship Id="rId1" Type="http://schemas.openxmlformats.org/officeDocument/2006/relationships/hyperlink" Target="https://finance.yahoo.com/quote/SPY/options?straddle=false" TargetMode="External"/><Relationship Id="rId6" Type="http://schemas.openxmlformats.org/officeDocument/2006/relationships/hyperlink" Target="https://finance.yahoo.com/quote/SPY210927C00438000?p=SPY210927C00438000" TargetMode="External"/><Relationship Id="rId15" Type="http://schemas.openxmlformats.org/officeDocument/2006/relationships/hyperlink" Target="https://finance.yahoo.com/quote/SPY/options?date=1633305600&amp;straddle=false" TargetMode="External"/><Relationship Id="rId23" Type="http://schemas.openxmlformats.org/officeDocument/2006/relationships/hyperlink" Target="https://finance.yahoo.com/quote/SPY/options?date=1634083200&amp;straddle=false" TargetMode="External"/><Relationship Id="rId28" Type="http://schemas.openxmlformats.org/officeDocument/2006/relationships/hyperlink" Target="https://finance.yahoo.com/quote/SPY211022C00438000?p=SPY211022C00438000" TargetMode="External"/><Relationship Id="rId36" Type="http://schemas.openxmlformats.org/officeDocument/2006/relationships/hyperlink" Target="https://finance.yahoo.com/quote/SPY211231C00438000?p=SPY211231C00438000" TargetMode="External"/><Relationship Id="rId49" Type="http://schemas.openxmlformats.org/officeDocument/2006/relationships/hyperlink" Target="https://finance.yahoo.com/quote/SPY/options?date=1656547200&amp;straddle=false" TargetMode="External"/><Relationship Id="rId57" Type="http://schemas.openxmlformats.org/officeDocument/2006/relationships/hyperlink" Target="https://finance.yahoo.com/quote/SPY/options?date=1632700800&amp;straddle=false" TargetMode="External"/><Relationship Id="rId10" Type="http://schemas.openxmlformats.org/officeDocument/2006/relationships/hyperlink" Target="https://finance.yahoo.com/quote/SPY210930C00438000?p=SPY210930C00438000" TargetMode="External"/><Relationship Id="rId31" Type="http://schemas.openxmlformats.org/officeDocument/2006/relationships/hyperlink" Target="https://finance.yahoo.com/quote/SPY/options?date=1635465600&amp;straddle=false" TargetMode="External"/><Relationship Id="rId44" Type="http://schemas.openxmlformats.org/officeDocument/2006/relationships/hyperlink" Target="https://finance.yahoo.com/quote/SPY220331C00438000?p=SPY220331C00438000" TargetMode="External"/><Relationship Id="rId52" Type="http://schemas.openxmlformats.org/officeDocument/2006/relationships/hyperlink" Target="https://finance.yahoo.com/quote/SPY210922P00438000?p=SPY210922P00438000" TargetMode="External"/><Relationship Id="rId60" Type="http://schemas.openxmlformats.org/officeDocument/2006/relationships/hyperlink" Target="https://finance.yahoo.com/quote/SPY210930P00438000?p=SPY210930P00438000" TargetMode="External"/><Relationship Id="rId65" Type="http://schemas.openxmlformats.org/officeDocument/2006/relationships/hyperlink" Target="https://finance.yahoo.com/quote/SPY/options?date=1633305600&amp;straddle=false" TargetMode="External"/><Relationship Id="rId73" Type="http://schemas.openxmlformats.org/officeDocument/2006/relationships/hyperlink" Target="https://finance.yahoo.com/quote/SPY/options?date=1634083200&amp;straddle=false" TargetMode="External"/><Relationship Id="rId78" Type="http://schemas.openxmlformats.org/officeDocument/2006/relationships/hyperlink" Target="https://finance.yahoo.com/quote/SPY211020P00438000?p=SPY211020P00438000" TargetMode="External"/><Relationship Id="rId81" Type="http://schemas.openxmlformats.org/officeDocument/2006/relationships/hyperlink" Target="https://finance.yahoo.com/quote/SPY/options?date=1634860800&amp;straddle=false" TargetMode="External"/><Relationship Id="rId86" Type="http://schemas.openxmlformats.org/officeDocument/2006/relationships/hyperlink" Target="https://finance.yahoo.com/quote/SPY211217P00438000?p=SPY211217P00438000" TargetMode="External"/><Relationship Id="rId94" Type="http://schemas.openxmlformats.org/officeDocument/2006/relationships/hyperlink" Target="https://finance.yahoo.com/quote/SPY220318P00438000?p=SPY220318P00438000" TargetMode="External"/><Relationship Id="rId99" Type="http://schemas.openxmlformats.org/officeDocument/2006/relationships/hyperlink" Target="https://finance.yahoo.com/quote/SPY/options?date=1655424000&amp;straddle=false" TargetMode="External"/><Relationship Id="rId101" Type="http://schemas.openxmlformats.org/officeDocument/2006/relationships/hyperlink" Target="https://finance.yahoo.com/quote/SPY/options?date=1656547200&amp;straddle=false" TargetMode="External"/><Relationship Id="rId4" Type="http://schemas.openxmlformats.org/officeDocument/2006/relationships/hyperlink" Target="https://finance.yahoo.com/quote/SPY210924C00438000?p=SPY210924C00438000" TargetMode="External"/><Relationship Id="rId9" Type="http://schemas.openxmlformats.org/officeDocument/2006/relationships/hyperlink" Target="https://finance.yahoo.com/quote/SPY/options?date=1632873600&amp;straddle=false" TargetMode="External"/><Relationship Id="rId13" Type="http://schemas.openxmlformats.org/officeDocument/2006/relationships/hyperlink" Target="https://finance.yahoo.com/quote/SPY/options?date=1633046400&amp;straddle=false" TargetMode="External"/><Relationship Id="rId18" Type="http://schemas.openxmlformats.org/officeDocument/2006/relationships/hyperlink" Target="https://finance.yahoo.com/quote/SPY211008C00438000?p=SPY211008C00438000" TargetMode="External"/><Relationship Id="rId39" Type="http://schemas.openxmlformats.org/officeDocument/2006/relationships/hyperlink" Target="https://finance.yahoo.com/quote/SPY/options?date=1642723200&amp;straddle=false" TargetMode="External"/><Relationship Id="rId34" Type="http://schemas.openxmlformats.org/officeDocument/2006/relationships/hyperlink" Target="https://finance.yahoo.com/quote/SPY211217C00438000?p=SPY211217C00438000" TargetMode="External"/><Relationship Id="rId50" Type="http://schemas.openxmlformats.org/officeDocument/2006/relationships/hyperlink" Target="https://finance.yahoo.com/quote/SPY220916C00438000?p=SPY220916C00438000" TargetMode="External"/><Relationship Id="rId55" Type="http://schemas.openxmlformats.org/officeDocument/2006/relationships/hyperlink" Target="https://finance.yahoo.com/quote/SPY/options?date=1632441600&amp;straddle=false" TargetMode="External"/><Relationship Id="rId76" Type="http://schemas.openxmlformats.org/officeDocument/2006/relationships/hyperlink" Target="https://finance.yahoo.com/quote/SPY211018P00438000?p=SPY211018P00438000" TargetMode="External"/><Relationship Id="rId97" Type="http://schemas.openxmlformats.org/officeDocument/2006/relationships/hyperlink" Target="https://finance.yahoo.com/quote/SPY/options?date=1648684800&amp;straddle=false" TargetMode="External"/><Relationship Id="rId7" Type="http://schemas.openxmlformats.org/officeDocument/2006/relationships/hyperlink" Target="https://finance.yahoo.com/quote/SPY/options?date=1632700800&amp;straddle=false" TargetMode="External"/><Relationship Id="rId71" Type="http://schemas.openxmlformats.org/officeDocument/2006/relationships/hyperlink" Target="https://finance.yahoo.com/quote/SPY/options?date=1633910400&amp;straddle=false" TargetMode="External"/><Relationship Id="rId92" Type="http://schemas.openxmlformats.org/officeDocument/2006/relationships/hyperlink" Target="https://finance.yahoo.com/quote/SPY220218P00438000?p=SPY220218P00438000" TargetMode="External"/><Relationship Id="rId2" Type="http://schemas.openxmlformats.org/officeDocument/2006/relationships/hyperlink" Target="https://finance.yahoo.com/quote/SPY210922C00438000?p=SPY210922C00438000" TargetMode="External"/><Relationship Id="rId29" Type="http://schemas.openxmlformats.org/officeDocument/2006/relationships/hyperlink" Target="https://finance.yahoo.com/quote/SPY/options?date=1634860800&amp;straddle=false" TargetMode="External"/><Relationship Id="rId24" Type="http://schemas.openxmlformats.org/officeDocument/2006/relationships/hyperlink" Target="https://finance.yahoo.com/quote/SPY211015C00438000?p=SPY211015C00438000" TargetMode="External"/><Relationship Id="rId40" Type="http://schemas.openxmlformats.org/officeDocument/2006/relationships/hyperlink" Target="https://finance.yahoo.com/quote/SPY220218C00438000?p=SPY220218C00438000" TargetMode="External"/><Relationship Id="rId45" Type="http://schemas.openxmlformats.org/officeDocument/2006/relationships/hyperlink" Target="https://finance.yahoo.com/quote/SPY/options?date=1648684800&amp;straddle=false" TargetMode="External"/><Relationship Id="rId66" Type="http://schemas.openxmlformats.org/officeDocument/2006/relationships/hyperlink" Target="https://finance.yahoo.com/quote/SPY211006P00438000?p=SPY211006P00438000" TargetMode="External"/><Relationship Id="rId87" Type="http://schemas.openxmlformats.org/officeDocument/2006/relationships/hyperlink" Target="https://finance.yahoo.com/quote/SPY/options?date=1639699200&amp;straddle=false" TargetMode="External"/><Relationship Id="rId61" Type="http://schemas.openxmlformats.org/officeDocument/2006/relationships/hyperlink" Target="https://finance.yahoo.com/quote/SPY/options?date=1632960000&amp;straddle=false" TargetMode="External"/><Relationship Id="rId82" Type="http://schemas.openxmlformats.org/officeDocument/2006/relationships/hyperlink" Target="https://finance.yahoo.com/quote/SPY211029P00438000?p=SPY211029P00438000" TargetMode="External"/><Relationship Id="rId19" Type="http://schemas.openxmlformats.org/officeDocument/2006/relationships/hyperlink" Target="https://finance.yahoo.com/quote/SPY/options?date=1633651200&amp;straddle=false" TargetMode="External"/><Relationship Id="rId14" Type="http://schemas.openxmlformats.org/officeDocument/2006/relationships/hyperlink" Target="https://finance.yahoo.com/quote/SPY211004C00438000?p=SPY211004C00438000" TargetMode="External"/><Relationship Id="rId30" Type="http://schemas.openxmlformats.org/officeDocument/2006/relationships/hyperlink" Target="https://finance.yahoo.com/quote/SPY211029C00438000?p=SPY211029C00438000" TargetMode="External"/><Relationship Id="rId35" Type="http://schemas.openxmlformats.org/officeDocument/2006/relationships/hyperlink" Target="https://finance.yahoo.com/quote/SPY/options?date=1639699200&amp;straddle=false" TargetMode="External"/><Relationship Id="rId56" Type="http://schemas.openxmlformats.org/officeDocument/2006/relationships/hyperlink" Target="https://finance.yahoo.com/quote/SPY210927P00438000?p=SPY210927P00438000" TargetMode="External"/><Relationship Id="rId77" Type="http://schemas.openxmlformats.org/officeDocument/2006/relationships/hyperlink" Target="https://finance.yahoo.com/quote/SPY/options?date=1634515200&amp;straddle=false" TargetMode="External"/><Relationship Id="rId100" Type="http://schemas.openxmlformats.org/officeDocument/2006/relationships/hyperlink" Target="https://finance.yahoo.com/quote/SPY220630P00438000?p=SPY220630P00438000" TargetMode="External"/><Relationship Id="rId8" Type="http://schemas.openxmlformats.org/officeDocument/2006/relationships/hyperlink" Target="https://finance.yahoo.com/quote/SPY210929C00438000?p=SPY210929C00438000" TargetMode="External"/><Relationship Id="rId51" Type="http://schemas.openxmlformats.org/officeDocument/2006/relationships/hyperlink" Target="https://finance.yahoo.com/quote/SPY/options?date=1663286400&amp;straddle=false" TargetMode="External"/><Relationship Id="rId72" Type="http://schemas.openxmlformats.org/officeDocument/2006/relationships/hyperlink" Target="https://finance.yahoo.com/quote/SPY211013P00438000?p=SPY211013P00438000" TargetMode="External"/><Relationship Id="rId93" Type="http://schemas.openxmlformats.org/officeDocument/2006/relationships/hyperlink" Target="https://finance.yahoo.com/quote/SPY/options?date=1645142400&amp;straddle=false" TargetMode="External"/><Relationship Id="rId98" Type="http://schemas.openxmlformats.org/officeDocument/2006/relationships/hyperlink" Target="https://finance.yahoo.com/quote/SPY220617P00438000?p=SPY220617P00438000" TargetMode="External"/><Relationship Id="rId3" Type="http://schemas.openxmlformats.org/officeDocument/2006/relationships/hyperlink" Target="https://finance.yahoo.com/quote/SPY/options?date=1632268800&amp;straddle=false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finance.yahoo.com/quote/SPY211018C00442000?p=SPY211018C00442000" TargetMode="External"/><Relationship Id="rId21" Type="http://schemas.openxmlformats.org/officeDocument/2006/relationships/hyperlink" Target="https://finance.yahoo.com/quote/SPY/options?date=1633910400&amp;straddle=false" TargetMode="External"/><Relationship Id="rId42" Type="http://schemas.openxmlformats.org/officeDocument/2006/relationships/hyperlink" Target="https://finance.yahoo.com/quote/SPY220218C00442000?p=SPY220218C00442000" TargetMode="External"/><Relationship Id="rId47" Type="http://schemas.openxmlformats.org/officeDocument/2006/relationships/hyperlink" Target="https://finance.yahoo.com/quote/SPY/options?date=1648684800&amp;straddle=false" TargetMode="External"/><Relationship Id="rId63" Type="http://schemas.openxmlformats.org/officeDocument/2006/relationships/hyperlink" Target="https://finance.yahoo.com/quote/SPY/options?date=1632960000&amp;straddle=false" TargetMode="External"/><Relationship Id="rId68" Type="http://schemas.openxmlformats.org/officeDocument/2006/relationships/hyperlink" Target="https://finance.yahoo.com/quote/SPY211006P00442000?p=SPY211006P00442000" TargetMode="External"/><Relationship Id="rId84" Type="http://schemas.openxmlformats.org/officeDocument/2006/relationships/hyperlink" Target="https://finance.yahoo.com/quote/SPY211029P00442000?p=SPY211029P00442000" TargetMode="External"/><Relationship Id="rId89" Type="http://schemas.openxmlformats.org/officeDocument/2006/relationships/hyperlink" Target="https://finance.yahoo.com/quote/SPY/options?date=1639699200&amp;straddle=false" TargetMode="External"/><Relationship Id="rId16" Type="http://schemas.openxmlformats.org/officeDocument/2006/relationships/hyperlink" Target="https://finance.yahoo.com/quote/SPY211006C00442000?p=SPY211006C00442000" TargetMode="External"/><Relationship Id="rId11" Type="http://schemas.openxmlformats.org/officeDocument/2006/relationships/hyperlink" Target="https://finance.yahoo.com/quote/SPY/options?date=1632960000&amp;straddle=false" TargetMode="External"/><Relationship Id="rId32" Type="http://schemas.openxmlformats.org/officeDocument/2006/relationships/hyperlink" Target="https://finance.yahoo.com/quote/SPY211029C00442000?p=SPY211029C00442000" TargetMode="External"/><Relationship Id="rId37" Type="http://schemas.openxmlformats.org/officeDocument/2006/relationships/hyperlink" Target="https://finance.yahoo.com/quote/SPY/options?date=1639699200&amp;straddle=false" TargetMode="External"/><Relationship Id="rId53" Type="http://schemas.openxmlformats.org/officeDocument/2006/relationships/hyperlink" Target="https://finance.yahoo.com/quote/SPY/options?date=1663286400&amp;straddle=false" TargetMode="External"/><Relationship Id="rId58" Type="http://schemas.openxmlformats.org/officeDocument/2006/relationships/hyperlink" Target="https://finance.yahoo.com/quote/SPY210927P00442000?p=SPY210927P00442000" TargetMode="External"/><Relationship Id="rId74" Type="http://schemas.openxmlformats.org/officeDocument/2006/relationships/hyperlink" Target="https://finance.yahoo.com/quote/SPY211013P00442000?p=SPY211013P00442000" TargetMode="External"/><Relationship Id="rId79" Type="http://schemas.openxmlformats.org/officeDocument/2006/relationships/hyperlink" Target="https://finance.yahoo.com/quote/SPY/options?date=1634515200&amp;straddle=false" TargetMode="External"/><Relationship Id="rId102" Type="http://schemas.openxmlformats.org/officeDocument/2006/relationships/hyperlink" Target="https://finance.yahoo.com/quote/SPY220630P00442000?p=SPY220630P00442000" TargetMode="External"/><Relationship Id="rId5" Type="http://schemas.openxmlformats.org/officeDocument/2006/relationships/hyperlink" Target="https://finance.yahoo.com/quote/SPY/options?date=1632441600&amp;straddle=false" TargetMode="External"/><Relationship Id="rId90" Type="http://schemas.openxmlformats.org/officeDocument/2006/relationships/hyperlink" Target="https://finance.yahoo.com/quote/SPY211231P00442000?p=SPY211231P00442000" TargetMode="External"/><Relationship Id="rId95" Type="http://schemas.openxmlformats.org/officeDocument/2006/relationships/hyperlink" Target="https://finance.yahoo.com/quote/SPY/options?date=1645142400&amp;straddle=false" TargetMode="External"/><Relationship Id="rId22" Type="http://schemas.openxmlformats.org/officeDocument/2006/relationships/hyperlink" Target="https://finance.yahoo.com/quote/SPY211013C00442000?p=SPY211013C00442000" TargetMode="External"/><Relationship Id="rId27" Type="http://schemas.openxmlformats.org/officeDocument/2006/relationships/hyperlink" Target="https://finance.yahoo.com/quote/SPY/options?date=1634515200&amp;straddle=false" TargetMode="External"/><Relationship Id="rId43" Type="http://schemas.openxmlformats.org/officeDocument/2006/relationships/hyperlink" Target="https://finance.yahoo.com/quote/SPY/options?date=1645142400&amp;straddle=false" TargetMode="External"/><Relationship Id="rId48" Type="http://schemas.openxmlformats.org/officeDocument/2006/relationships/hyperlink" Target="https://finance.yahoo.com/quote/SPY220617C00442000?p=SPY220617C00442000" TargetMode="External"/><Relationship Id="rId64" Type="http://schemas.openxmlformats.org/officeDocument/2006/relationships/hyperlink" Target="https://finance.yahoo.com/quote/SPY211001P00442000?p=SPY211001P00442000" TargetMode="External"/><Relationship Id="rId69" Type="http://schemas.openxmlformats.org/officeDocument/2006/relationships/hyperlink" Target="https://finance.yahoo.com/quote/SPY/options?date=1633478400&amp;straddle=false" TargetMode="External"/><Relationship Id="rId80" Type="http://schemas.openxmlformats.org/officeDocument/2006/relationships/hyperlink" Target="https://finance.yahoo.com/quote/SPY211020P00442000?p=SPY211020P00442000" TargetMode="External"/><Relationship Id="rId85" Type="http://schemas.openxmlformats.org/officeDocument/2006/relationships/hyperlink" Target="https://finance.yahoo.com/quote/SPY/options?date=1635465600&amp;straddle=false" TargetMode="External"/><Relationship Id="rId12" Type="http://schemas.openxmlformats.org/officeDocument/2006/relationships/hyperlink" Target="https://finance.yahoo.com/quote/SPY211001C00442000?p=SPY211001C00442000" TargetMode="External"/><Relationship Id="rId17" Type="http://schemas.openxmlformats.org/officeDocument/2006/relationships/hyperlink" Target="https://finance.yahoo.com/quote/SPY/options?date=1633478400&amp;straddle=false" TargetMode="External"/><Relationship Id="rId33" Type="http://schemas.openxmlformats.org/officeDocument/2006/relationships/hyperlink" Target="https://finance.yahoo.com/quote/SPY/options?date=1635465600&amp;straddle=false" TargetMode="External"/><Relationship Id="rId38" Type="http://schemas.openxmlformats.org/officeDocument/2006/relationships/hyperlink" Target="https://finance.yahoo.com/quote/SPY211231C00442000?p=SPY211231C00442000" TargetMode="External"/><Relationship Id="rId59" Type="http://schemas.openxmlformats.org/officeDocument/2006/relationships/hyperlink" Target="https://finance.yahoo.com/quote/SPY/options?date=1632700800&amp;straddle=false" TargetMode="External"/><Relationship Id="rId103" Type="http://schemas.openxmlformats.org/officeDocument/2006/relationships/hyperlink" Target="https://finance.yahoo.com/quote/SPY/options?date=1656547200&amp;straddle=false" TargetMode="External"/><Relationship Id="rId20" Type="http://schemas.openxmlformats.org/officeDocument/2006/relationships/hyperlink" Target="https://finance.yahoo.com/quote/SPY211011C00442000?p=SPY211011C00442000" TargetMode="External"/><Relationship Id="rId41" Type="http://schemas.openxmlformats.org/officeDocument/2006/relationships/hyperlink" Target="https://finance.yahoo.com/quote/SPY/options?date=1642723200&amp;straddle=false" TargetMode="External"/><Relationship Id="rId54" Type="http://schemas.openxmlformats.org/officeDocument/2006/relationships/hyperlink" Target="https://finance.yahoo.com/quote/SPY210922P00442000?p=SPY210922P00442000" TargetMode="External"/><Relationship Id="rId62" Type="http://schemas.openxmlformats.org/officeDocument/2006/relationships/hyperlink" Target="https://finance.yahoo.com/quote/SPY210930P00442000?p=SPY210930P00442000" TargetMode="External"/><Relationship Id="rId70" Type="http://schemas.openxmlformats.org/officeDocument/2006/relationships/hyperlink" Target="https://finance.yahoo.com/quote/SPY211008P00442000?p=SPY211008P00442000" TargetMode="External"/><Relationship Id="rId75" Type="http://schemas.openxmlformats.org/officeDocument/2006/relationships/hyperlink" Target="https://finance.yahoo.com/quote/SPY/options?date=1634083200&amp;straddle=false" TargetMode="External"/><Relationship Id="rId83" Type="http://schemas.openxmlformats.org/officeDocument/2006/relationships/hyperlink" Target="https://finance.yahoo.com/quote/SPY/options?date=1634860800&amp;straddle=false" TargetMode="External"/><Relationship Id="rId88" Type="http://schemas.openxmlformats.org/officeDocument/2006/relationships/hyperlink" Target="https://finance.yahoo.com/quote/SPY211217P00442000?p=SPY211217P00442000" TargetMode="External"/><Relationship Id="rId91" Type="http://schemas.openxmlformats.org/officeDocument/2006/relationships/hyperlink" Target="https://finance.yahoo.com/quote/SPY/options?date=1640908800&amp;straddle=false" TargetMode="External"/><Relationship Id="rId96" Type="http://schemas.openxmlformats.org/officeDocument/2006/relationships/hyperlink" Target="https://finance.yahoo.com/quote/SPY220318P00442000?p=SPY220318P00442000" TargetMode="External"/><Relationship Id="rId1" Type="http://schemas.openxmlformats.org/officeDocument/2006/relationships/hyperlink" Target="https://finance.yahoo.com/quote/SPY/options?straddle=false" TargetMode="External"/><Relationship Id="rId6" Type="http://schemas.openxmlformats.org/officeDocument/2006/relationships/hyperlink" Target="https://finance.yahoo.com/quote/SPY210927C00442000?p=SPY210927C00442000" TargetMode="External"/><Relationship Id="rId15" Type="http://schemas.openxmlformats.org/officeDocument/2006/relationships/hyperlink" Target="https://finance.yahoo.com/quote/SPY/options?date=1633305600&amp;straddle=false" TargetMode="External"/><Relationship Id="rId23" Type="http://schemas.openxmlformats.org/officeDocument/2006/relationships/hyperlink" Target="https://finance.yahoo.com/quote/SPY/options?date=1634083200&amp;straddle=false" TargetMode="External"/><Relationship Id="rId28" Type="http://schemas.openxmlformats.org/officeDocument/2006/relationships/hyperlink" Target="https://finance.yahoo.com/quote/SPY211020C00442000?p=SPY211020C00442000" TargetMode="External"/><Relationship Id="rId36" Type="http://schemas.openxmlformats.org/officeDocument/2006/relationships/hyperlink" Target="https://finance.yahoo.com/quote/SPY211217C00442000?p=SPY211217C00442000" TargetMode="External"/><Relationship Id="rId49" Type="http://schemas.openxmlformats.org/officeDocument/2006/relationships/hyperlink" Target="https://finance.yahoo.com/quote/SPY/options?date=1655424000&amp;straddle=false" TargetMode="External"/><Relationship Id="rId57" Type="http://schemas.openxmlformats.org/officeDocument/2006/relationships/hyperlink" Target="https://finance.yahoo.com/quote/SPY/options?date=1632441600&amp;straddle=false" TargetMode="External"/><Relationship Id="rId10" Type="http://schemas.openxmlformats.org/officeDocument/2006/relationships/hyperlink" Target="https://finance.yahoo.com/quote/SPY210930C00442000?p=SPY210930C00442000" TargetMode="External"/><Relationship Id="rId31" Type="http://schemas.openxmlformats.org/officeDocument/2006/relationships/hyperlink" Target="https://finance.yahoo.com/quote/SPY/options?date=1634860800&amp;straddle=false" TargetMode="External"/><Relationship Id="rId44" Type="http://schemas.openxmlformats.org/officeDocument/2006/relationships/hyperlink" Target="https://finance.yahoo.com/quote/SPY220318C00442000?p=SPY220318C00442000" TargetMode="External"/><Relationship Id="rId52" Type="http://schemas.openxmlformats.org/officeDocument/2006/relationships/hyperlink" Target="https://finance.yahoo.com/quote/SPY220916C00442000?p=SPY220916C00442000" TargetMode="External"/><Relationship Id="rId60" Type="http://schemas.openxmlformats.org/officeDocument/2006/relationships/hyperlink" Target="https://finance.yahoo.com/quote/SPY210929P00442000?p=SPY210929P00442000" TargetMode="External"/><Relationship Id="rId65" Type="http://schemas.openxmlformats.org/officeDocument/2006/relationships/hyperlink" Target="https://finance.yahoo.com/quote/SPY/options?date=1633046400&amp;straddle=false" TargetMode="External"/><Relationship Id="rId73" Type="http://schemas.openxmlformats.org/officeDocument/2006/relationships/hyperlink" Target="https://finance.yahoo.com/quote/SPY/options?date=1633910400&amp;straddle=false" TargetMode="External"/><Relationship Id="rId78" Type="http://schemas.openxmlformats.org/officeDocument/2006/relationships/hyperlink" Target="https://finance.yahoo.com/quote/SPY211018P00442000?p=SPY211018P00442000" TargetMode="External"/><Relationship Id="rId81" Type="http://schemas.openxmlformats.org/officeDocument/2006/relationships/hyperlink" Target="https://finance.yahoo.com/quote/SPY/options?date=1634688000&amp;straddle=false" TargetMode="External"/><Relationship Id="rId86" Type="http://schemas.openxmlformats.org/officeDocument/2006/relationships/hyperlink" Target="https://finance.yahoo.com/quote/SPY211119P00442000?p=SPY211119P00442000" TargetMode="External"/><Relationship Id="rId94" Type="http://schemas.openxmlformats.org/officeDocument/2006/relationships/hyperlink" Target="https://finance.yahoo.com/quote/SPY220218P00442000?p=SPY220218P00442000" TargetMode="External"/><Relationship Id="rId99" Type="http://schemas.openxmlformats.org/officeDocument/2006/relationships/hyperlink" Target="https://finance.yahoo.com/quote/SPY/options?date=1648684800&amp;straddle=false" TargetMode="External"/><Relationship Id="rId101" Type="http://schemas.openxmlformats.org/officeDocument/2006/relationships/hyperlink" Target="https://finance.yahoo.com/quote/SPY/options?date=1655424000&amp;straddle=false" TargetMode="External"/><Relationship Id="rId4" Type="http://schemas.openxmlformats.org/officeDocument/2006/relationships/hyperlink" Target="https://finance.yahoo.com/quote/SPY210924C00442000?p=SPY210924C00442000" TargetMode="External"/><Relationship Id="rId9" Type="http://schemas.openxmlformats.org/officeDocument/2006/relationships/hyperlink" Target="https://finance.yahoo.com/quote/SPY/options?date=1632873600&amp;straddle=false" TargetMode="External"/><Relationship Id="rId13" Type="http://schemas.openxmlformats.org/officeDocument/2006/relationships/hyperlink" Target="https://finance.yahoo.com/quote/SPY/options?date=1633046400&amp;straddle=false" TargetMode="External"/><Relationship Id="rId18" Type="http://schemas.openxmlformats.org/officeDocument/2006/relationships/hyperlink" Target="https://finance.yahoo.com/quote/SPY211008C00442000?p=SPY211008C00442000" TargetMode="External"/><Relationship Id="rId39" Type="http://schemas.openxmlformats.org/officeDocument/2006/relationships/hyperlink" Target="https://finance.yahoo.com/quote/SPY/options?date=1640908800&amp;straddle=false" TargetMode="External"/><Relationship Id="rId34" Type="http://schemas.openxmlformats.org/officeDocument/2006/relationships/hyperlink" Target="https://finance.yahoo.com/quote/SPY211119C00442000?p=SPY211119C00442000" TargetMode="External"/><Relationship Id="rId50" Type="http://schemas.openxmlformats.org/officeDocument/2006/relationships/hyperlink" Target="https://finance.yahoo.com/quote/SPY220630C00442000?p=SPY220630C00442000" TargetMode="External"/><Relationship Id="rId55" Type="http://schemas.openxmlformats.org/officeDocument/2006/relationships/hyperlink" Target="https://finance.yahoo.com/quote/SPY/options?date=1632268800&amp;straddle=false" TargetMode="External"/><Relationship Id="rId76" Type="http://schemas.openxmlformats.org/officeDocument/2006/relationships/hyperlink" Target="https://finance.yahoo.com/quote/SPY211015P00442000?p=SPY211015P00442000" TargetMode="External"/><Relationship Id="rId97" Type="http://schemas.openxmlformats.org/officeDocument/2006/relationships/hyperlink" Target="https://finance.yahoo.com/quote/SPY/options?date=1647561600&amp;straddle=false" TargetMode="External"/><Relationship Id="rId104" Type="http://schemas.openxmlformats.org/officeDocument/2006/relationships/hyperlink" Target="https://finance.yahoo.com/quote/SPY220916P00442000?p=SPY220916P00442000" TargetMode="External"/><Relationship Id="rId7" Type="http://schemas.openxmlformats.org/officeDocument/2006/relationships/hyperlink" Target="https://finance.yahoo.com/quote/SPY/options?date=1632700800&amp;straddle=false" TargetMode="External"/><Relationship Id="rId71" Type="http://schemas.openxmlformats.org/officeDocument/2006/relationships/hyperlink" Target="https://finance.yahoo.com/quote/SPY/options?date=1633651200&amp;straddle=false" TargetMode="External"/><Relationship Id="rId92" Type="http://schemas.openxmlformats.org/officeDocument/2006/relationships/hyperlink" Target="https://finance.yahoo.com/quote/SPY220121P00442000?p=SPY220121P00442000" TargetMode="External"/><Relationship Id="rId2" Type="http://schemas.openxmlformats.org/officeDocument/2006/relationships/hyperlink" Target="https://finance.yahoo.com/quote/SPY210922C00442000?p=SPY210922C00442000" TargetMode="External"/><Relationship Id="rId29" Type="http://schemas.openxmlformats.org/officeDocument/2006/relationships/hyperlink" Target="https://finance.yahoo.com/quote/SPY/options?date=1634688000&amp;straddle=false" TargetMode="External"/><Relationship Id="rId24" Type="http://schemas.openxmlformats.org/officeDocument/2006/relationships/hyperlink" Target="https://finance.yahoo.com/quote/SPY211015C00442000?p=SPY211015C00442000" TargetMode="External"/><Relationship Id="rId40" Type="http://schemas.openxmlformats.org/officeDocument/2006/relationships/hyperlink" Target="https://finance.yahoo.com/quote/SPY220121C00442000?p=SPY220121C00442000" TargetMode="External"/><Relationship Id="rId45" Type="http://schemas.openxmlformats.org/officeDocument/2006/relationships/hyperlink" Target="https://finance.yahoo.com/quote/SPY/options?date=1647561600&amp;straddle=false" TargetMode="External"/><Relationship Id="rId66" Type="http://schemas.openxmlformats.org/officeDocument/2006/relationships/hyperlink" Target="https://finance.yahoo.com/quote/SPY211004P00442000?p=SPY211004P00442000" TargetMode="External"/><Relationship Id="rId87" Type="http://schemas.openxmlformats.org/officeDocument/2006/relationships/hyperlink" Target="https://finance.yahoo.com/quote/SPY/options?date=1637280000&amp;straddle=false" TargetMode="External"/><Relationship Id="rId61" Type="http://schemas.openxmlformats.org/officeDocument/2006/relationships/hyperlink" Target="https://finance.yahoo.com/quote/SPY/options?date=1632873600&amp;straddle=false" TargetMode="External"/><Relationship Id="rId82" Type="http://schemas.openxmlformats.org/officeDocument/2006/relationships/hyperlink" Target="https://finance.yahoo.com/quote/SPY211022P00442000?p=SPY211022P00442000" TargetMode="External"/><Relationship Id="rId19" Type="http://schemas.openxmlformats.org/officeDocument/2006/relationships/hyperlink" Target="https://finance.yahoo.com/quote/SPY/options?date=1633651200&amp;straddle=false" TargetMode="External"/><Relationship Id="rId14" Type="http://schemas.openxmlformats.org/officeDocument/2006/relationships/hyperlink" Target="https://finance.yahoo.com/quote/SPY211004C00442000?p=SPY211004C00442000" TargetMode="External"/><Relationship Id="rId30" Type="http://schemas.openxmlformats.org/officeDocument/2006/relationships/hyperlink" Target="https://finance.yahoo.com/quote/SPY211022C00442000?p=SPY211022C00442000" TargetMode="External"/><Relationship Id="rId35" Type="http://schemas.openxmlformats.org/officeDocument/2006/relationships/hyperlink" Target="https://finance.yahoo.com/quote/SPY/options?date=1637280000&amp;straddle=false" TargetMode="External"/><Relationship Id="rId56" Type="http://schemas.openxmlformats.org/officeDocument/2006/relationships/hyperlink" Target="https://finance.yahoo.com/quote/SPY210924P00442000?p=SPY210924P00442000" TargetMode="External"/><Relationship Id="rId77" Type="http://schemas.openxmlformats.org/officeDocument/2006/relationships/hyperlink" Target="https://finance.yahoo.com/quote/SPY/options?date=1634256000&amp;straddle=false" TargetMode="External"/><Relationship Id="rId100" Type="http://schemas.openxmlformats.org/officeDocument/2006/relationships/hyperlink" Target="https://finance.yahoo.com/quote/SPY220617P00442000?p=SPY220617P00442000" TargetMode="External"/><Relationship Id="rId105" Type="http://schemas.openxmlformats.org/officeDocument/2006/relationships/hyperlink" Target="https://finance.yahoo.com/quote/SPY/options?date=1663286400&amp;straddle=false" TargetMode="External"/><Relationship Id="rId8" Type="http://schemas.openxmlformats.org/officeDocument/2006/relationships/hyperlink" Target="https://finance.yahoo.com/quote/SPY210929C00442000?p=SPY210929C00442000" TargetMode="External"/><Relationship Id="rId51" Type="http://schemas.openxmlformats.org/officeDocument/2006/relationships/hyperlink" Target="https://finance.yahoo.com/quote/SPY/options?date=1656547200&amp;straddle=false" TargetMode="External"/><Relationship Id="rId72" Type="http://schemas.openxmlformats.org/officeDocument/2006/relationships/hyperlink" Target="https://finance.yahoo.com/quote/SPY211011P00442000?p=SPY211011P00442000" TargetMode="External"/><Relationship Id="rId93" Type="http://schemas.openxmlformats.org/officeDocument/2006/relationships/hyperlink" Target="https://finance.yahoo.com/quote/SPY/options?date=1642723200&amp;straddle=false" TargetMode="External"/><Relationship Id="rId98" Type="http://schemas.openxmlformats.org/officeDocument/2006/relationships/hyperlink" Target="https://finance.yahoo.com/quote/SPY220331P00442000?p=SPY220331P00442000" TargetMode="External"/><Relationship Id="rId3" Type="http://schemas.openxmlformats.org/officeDocument/2006/relationships/hyperlink" Target="https://finance.yahoo.com/quote/SPY/options?date=1632268800&amp;straddle=false" TargetMode="External"/><Relationship Id="rId25" Type="http://schemas.openxmlformats.org/officeDocument/2006/relationships/hyperlink" Target="https://finance.yahoo.com/quote/SPY/options?date=1634256000&amp;straddle=false" TargetMode="External"/><Relationship Id="rId46" Type="http://schemas.openxmlformats.org/officeDocument/2006/relationships/hyperlink" Target="https://finance.yahoo.com/quote/SPY220331C00442000?p=SPY220331C00442000" TargetMode="External"/><Relationship Id="rId67" Type="http://schemas.openxmlformats.org/officeDocument/2006/relationships/hyperlink" Target="https://finance.yahoo.com/quote/SPY/options?date=1633305600&amp;straddle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EE1B-FBAE-4F82-B87F-093C2A106DC0}">
  <dimension ref="A1:P102"/>
  <sheetViews>
    <sheetView topLeftCell="H1" workbookViewId="0">
      <selection activeCell="K3" sqref="K3"/>
    </sheetView>
  </sheetViews>
  <sheetFormatPr defaultRowHeight="14.5" x14ac:dyDescent="0.35"/>
  <cols>
    <col min="1" max="1" width="23.26953125" style="1" bestFit="1" customWidth="1"/>
    <col min="2" max="2" width="25.453125" style="1" customWidth="1"/>
    <col min="3" max="8" width="9.1796875" style="1"/>
  </cols>
  <sheetData>
    <row r="1" spans="1:16" x14ac:dyDescent="0.35">
      <c r="A1" s="39" t="s">
        <v>23</v>
      </c>
      <c r="B1"/>
      <c r="C1"/>
      <c r="D1"/>
      <c r="E1"/>
      <c r="F1"/>
      <c r="G1"/>
      <c r="H1"/>
      <c r="M1" s="15" t="s">
        <v>12</v>
      </c>
      <c r="N1" s="16" t="s">
        <v>13</v>
      </c>
      <c r="O1" s="16" t="s">
        <v>14</v>
      </c>
      <c r="P1" s="17" t="s">
        <v>15</v>
      </c>
    </row>
    <row r="2" spans="1:16" ht="25" customHeight="1" thickBot="1" x14ac:dyDescent="0.4">
      <c r="A2" s="40" t="s">
        <v>0</v>
      </c>
      <c r="B2" s="41" t="s">
        <v>1</v>
      </c>
      <c r="C2" s="42" t="s">
        <v>2</v>
      </c>
      <c r="D2" s="42" t="s">
        <v>357</v>
      </c>
      <c r="E2" s="41" t="s">
        <v>3</v>
      </c>
      <c r="F2" s="41" t="s">
        <v>8</v>
      </c>
      <c r="G2" s="41" t="s">
        <v>9</v>
      </c>
      <c r="H2" s="41" t="s">
        <v>10</v>
      </c>
      <c r="I2" s="3" t="s">
        <v>18</v>
      </c>
      <c r="J2" s="3" t="s">
        <v>19</v>
      </c>
      <c r="K2" s="3" t="s">
        <v>20</v>
      </c>
      <c r="L2" s="4" t="s">
        <v>21</v>
      </c>
      <c r="M2" s="8">
        <v>433.63</v>
      </c>
      <c r="N2" s="1">
        <f>38/365</f>
        <v>0.10410958904109589</v>
      </c>
      <c r="O2" s="9">
        <v>4.0000000000000002E-4</v>
      </c>
      <c r="P2" s="10">
        <v>1.2999999999999999E-2</v>
      </c>
    </row>
    <row r="3" spans="1:16" s="1" customFormat="1" ht="15" customHeight="1" thickBot="1" x14ac:dyDescent="0.35">
      <c r="A3" s="20" t="s">
        <v>24</v>
      </c>
      <c r="B3" s="21" t="s">
        <v>25</v>
      </c>
      <c r="C3" s="22">
        <v>375</v>
      </c>
      <c r="D3" s="7">
        <f>C3/M$2</f>
        <v>0.86479256509005376</v>
      </c>
      <c r="E3" s="21">
        <v>71.44</v>
      </c>
      <c r="F3" s="21">
        <v>3</v>
      </c>
      <c r="G3" s="21">
        <v>3</v>
      </c>
      <c r="H3" s="23">
        <v>0.67584115684012636</v>
      </c>
      <c r="I3" s="5">
        <f>(LN($M$2/C3)+($O$2-$P$2+0.5*H3^2)*$N$2)/(H3*SQRT($N$2))</f>
        <v>0.76916921307251718</v>
      </c>
      <c r="J3" s="5">
        <f>I3-H3*SQRT($N$2)</f>
        <v>0.55110218660009047</v>
      </c>
      <c r="K3" s="2">
        <f>-C3*$M$5*_xlfn.NORM.S.DIST(J3,TRUE)+$N$5*_xlfn.NORM.S.DIST(I3,TRUE)</f>
        <v>71.439999993986589</v>
      </c>
      <c r="L3" s="6">
        <f>(E3-K3)^2</f>
        <v>3.6161081040598236E-17</v>
      </c>
      <c r="M3" s="8"/>
      <c r="P3" s="11"/>
    </row>
    <row r="4" spans="1:16" s="1" customFormat="1" ht="15" customHeight="1" thickBot="1" x14ac:dyDescent="0.35">
      <c r="A4" s="20" t="s">
        <v>26</v>
      </c>
      <c r="B4" s="21" t="s">
        <v>27</v>
      </c>
      <c r="C4" s="22">
        <v>380</v>
      </c>
      <c r="D4" s="7">
        <f t="shared" ref="D4:D67" si="0">C4/M$2</f>
        <v>0.87632313262458783</v>
      </c>
      <c r="E4" s="21">
        <v>56.98</v>
      </c>
      <c r="F4" s="21">
        <v>1</v>
      </c>
      <c r="G4" s="21">
        <v>5</v>
      </c>
      <c r="H4" s="23">
        <v>0.38924740612336017</v>
      </c>
      <c r="I4" s="5">
        <f t="shared" ref="I4" si="1">(LN($M$2/C4)+($O$2-$P$2+0.5*H4^2)*$N$2)/(H4*SQRT($N$2))</f>
        <v>1.1035153460101921</v>
      </c>
      <c r="J4" s="5">
        <f t="shared" ref="J4" si="2">I4-H4*SQRT($N$2)</f>
        <v>0.97792070952446908</v>
      </c>
      <c r="K4" s="2">
        <f t="shared" ref="K4" si="3">-C4*$M$5*_xlfn.NORM.S.DIST(J4,TRUE)+$N$5*_xlfn.NORM.S.DIST(I4,TRUE)</f>
        <v>56.979999999429083</v>
      </c>
      <c r="L4" s="6">
        <f t="shared" ref="L4" si="4">(E4-K4)^2</f>
        <v>3.2594277570618456E-19</v>
      </c>
      <c r="M4" s="18" t="s">
        <v>16</v>
      </c>
      <c r="N4" s="19" t="s">
        <v>17</v>
      </c>
      <c r="P4" s="11"/>
    </row>
    <row r="5" spans="1:16" s="1" customFormat="1" ht="15" customHeight="1" thickBot="1" x14ac:dyDescent="0.35">
      <c r="A5" s="20" t="s">
        <v>28</v>
      </c>
      <c r="B5" s="21" t="s">
        <v>29</v>
      </c>
      <c r="C5" s="22">
        <v>385</v>
      </c>
      <c r="D5" s="7">
        <f t="shared" si="0"/>
        <v>0.88785370015912179</v>
      </c>
      <c r="E5" s="21">
        <v>62.31</v>
      </c>
      <c r="F5" s="21">
        <v>1</v>
      </c>
      <c r="G5" s="21">
        <v>7</v>
      </c>
      <c r="H5" s="23">
        <v>0.2999</v>
      </c>
      <c r="I5" s="5"/>
      <c r="J5" s="5"/>
      <c r="K5" s="2"/>
      <c r="L5" s="6"/>
      <c r="M5" s="12">
        <f>EXP(-O2*N2)</f>
        <v>0.99995835703147606</v>
      </c>
      <c r="N5" s="13">
        <f>M2*EXP(-P2*N2)</f>
        <v>433.04351143931854</v>
      </c>
      <c r="O5" s="13"/>
      <c r="P5" s="14"/>
    </row>
    <row r="6" spans="1:16" s="1" customFormat="1" ht="15" customHeight="1" thickBot="1" x14ac:dyDescent="0.35">
      <c r="A6" s="20" t="s">
        <v>30</v>
      </c>
      <c r="B6" s="21" t="s">
        <v>31</v>
      </c>
      <c r="C6" s="22">
        <v>390</v>
      </c>
      <c r="D6" s="7">
        <f t="shared" si="0"/>
        <v>0.89938426769365587</v>
      </c>
      <c r="E6" s="21">
        <v>55.4</v>
      </c>
      <c r="F6" s="21" t="s">
        <v>11</v>
      </c>
      <c r="G6" s="21">
        <v>8</v>
      </c>
      <c r="H6" s="23">
        <v>0.2903</v>
      </c>
      <c r="I6" s="5"/>
      <c r="J6" s="5"/>
      <c r="K6" s="2"/>
      <c r="L6" s="6"/>
    </row>
    <row r="7" spans="1:16" s="1" customFormat="1" ht="15" customHeight="1" thickBot="1" x14ac:dyDescent="0.35">
      <c r="A7" s="20" t="s">
        <v>32</v>
      </c>
      <c r="B7" s="21" t="s">
        <v>33</v>
      </c>
      <c r="C7" s="22">
        <v>395</v>
      </c>
      <c r="D7" s="7">
        <f t="shared" si="0"/>
        <v>0.91091483522818995</v>
      </c>
      <c r="E7" s="21">
        <v>42.85</v>
      </c>
      <c r="F7" s="21">
        <v>2</v>
      </c>
      <c r="G7" s="21">
        <v>3</v>
      </c>
      <c r="H7" s="23">
        <v>0.28170000000000001</v>
      </c>
      <c r="I7" s="5"/>
      <c r="J7" s="5"/>
      <c r="K7" s="2"/>
      <c r="L7" s="6"/>
    </row>
    <row r="8" spans="1:16" s="1" customFormat="1" ht="15" customHeight="1" thickBot="1" x14ac:dyDescent="0.35">
      <c r="A8" s="20" t="s">
        <v>34</v>
      </c>
      <c r="B8" s="21" t="s">
        <v>35</v>
      </c>
      <c r="C8" s="22">
        <v>400</v>
      </c>
      <c r="D8" s="7">
        <f t="shared" si="0"/>
        <v>0.92244540276272402</v>
      </c>
      <c r="E8" s="21">
        <v>40</v>
      </c>
      <c r="F8" s="21">
        <v>2</v>
      </c>
      <c r="G8" s="21">
        <v>17</v>
      </c>
      <c r="H8" s="23">
        <v>0.2717</v>
      </c>
      <c r="I8" s="5"/>
      <c r="J8" s="5"/>
      <c r="K8" s="2"/>
      <c r="L8" s="6"/>
    </row>
    <row r="9" spans="1:16" s="1" customFormat="1" ht="15" customHeight="1" thickBot="1" x14ac:dyDescent="0.35">
      <c r="A9" s="20" t="s">
        <v>36</v>
      </c>
      <c r="B9" s="21" t="s">
        <v>37</v>
      </c>
      <c r="C9" s="22">
        <v>402</v>
      </c>
      <c r="D9" s="7">
        <f t="shared" si="0"/>
        <v>0.92705762977653761</v>
      </c>
      <c r="E9" s="21">
        <v>34.74</v>
      </c>
      <c r="F9" s="21">
        <v>10</v>
      </c>
      <c r="G9" s="21">
        <v>12</v>
      </c>
      <c r="H9" s="23">
        <v>0.26800000000000002</v>
      </c>
      <c r="I9" s="5"/>
      <c r="J9" s="5"/>
      <c r="K9" s="2"/>
      <c r="L9" s="6"/>
    </row>
    <row r="10" spans="1:16" s="1" customFormat="1" ht="15" customHeight="1" thickBot="1" x14ac:dyDescent="0.35">
      <c r="A10" s="20" t="s">
        <v>38</v>
      </c>
      <c r="B10" s="21" t="s">
        <v>31</v>
      </c>
      <c r="C10" s="22">
        <v>403</v>
      </c>
      <c r="D10" s="7">
        <f t="shared" si="0"/>
        <v>0.9293637432834444</v>
      </c>
      <c r="E10" s="21">
        <v>41.85</v>
      </c>
      <c r="F10" s="21" t="s">
        <v>11</v>
      </c>
      <c r="G10" s="21">
        <v>1</v>
      </c>
      <c r="H10" s="23">
        <v>0.26619999999999999</v>
      </c>
      <c r="I10" s="5"/>
      <c r="J10" s="5"/>
      <c r="K10" s="2"/>
      <c r="L10" s="6"/>
    </row>
    <row r="11" spans="1:16" s="1" customFormat="1" ht="15" customHeight="1" thickBot="1" x14ac:dyDescent="0.35">
      <c r="A11" s="20" t="s">
        <v>39</v>
      </c>
      <c r="B11" s="21" t="s">
        <v>40</v>
      </c>
      <c r="C11" s="22">
        <v>405</v>
      </c>
      <c r="D11" s="7">
        <f t="shared" si="0"/>
        <v>0.9339759702972581</v>
      </c>
      <c r="E11" s="21">
        <v>31.09</v>
      </c>
      <c r="F11" s="21">
        <v>1</v>
      </c>
      <c r="G11" s="21">
        <v>18</v>
      </c>
      <c r="H11" s="23">
        <v>0.26069999999999999</v>
      </c>
      <c r="I11" s="5"/>
      <c r="J11" s="5"/>
      <c r="K11" s="2"/>
      <c r="L11" s="6"/>
    </row>
    <row r="12" spans="1:16" s="1" customFormat="1" ht="15" customHeight="1" thickBot="1" x14ac:dyDescent="0.35">
      <c r="A12" s="20" t="s">
        <v>41</v>
      </c>
      <c r="B12" s="21" t="s">
        <v>42</v>
      </c>
      <c r="C12" s="22">
        <v>406</v>
      </c>
      <c r="D12" s="7">
        <f t="shared" si="0"/>
        <v>0.93628208380416489</v>
      </c>
      <c r="E12" s="21">
        <v>32.15</v>
      </c>
      <c r="F12" s="21">
        <v>10</v>
      </c>
      <c r="G12" s="21">
        <v>21</v>
      </c>
      <c r="H12" s="23">
        <v>0.25879999999999997</v>
      </c>
      <c r="I12" s="5"/>
      <c r="J12" s="5"/>
      <c r="K12" s="2"/>
      <c r="L12" s="6"/>
    </row>
    <row r="13" spans="1:16" s="1" customFormat="1" ht="15" customHeight="1" thickBot="1" x14ac:dyDescent="0.35">
      <c r="A13" s="20" t="s">
        <v>43</v>
      </c>
      <c r="B13" s="21" t="s">
        <v>31</v>
      </c>
      <c r="C13" s="22">
        <v>408</v>
      </c>
      <c r="D13" s="7">
        <f t="shared" si="0"/>
        <v>0.94089431081797847</v>
      </c>
      <c r="E13" s="21">
        <v>38</v>
      </c>
      <c r="F13" s="21" t="s">
        <v>11</v>
      </c>
      <c r="G13" s="21">
        <v>3</v>
      </c>
      <c r="H13" s="23">
        <v>0.25459999999999999</v>
      </c>
      <c r="I13" s="5"/>
      <c r="J13" s="5"/>
      <c r="K13" s="2"/>
      <c r="L13" s="6"/>
    </row>
    <row r="14" spans="1:16" s="1" customFormat="1" ht="15" customHeight="1" thickBot="1" x14ac:dyDescent="0.35">
      <c r="A14" s="20" t="s">
        <v>44</v>
      </c>
      <c r="B14" s="21" t="s">
        <v>45</v>
      </c>
      <c r="C14" s="22">
        <v>409</v>
      </c>
      <c r="D14" s="7">
        <f t="shared" si="0"/>
        <v>0.94320042432488527</v>
      </c>
      <c r="E14" s="21">
        <v>30.78</v>
      </c>
      <c r="F14" s="21">
        <v>4</v>
      </c>
      <c r="G14" s="21">
        <v>6</v>
      </c>
      <c r="H14" s="23">
        <v>0.25259999999999999</v>
      </c>
      <c r="I14" s="5"/>
      <c r="J14" s="5"/>
      <c r="K14" s="2"/>
      <c r="L14" s="6"/>
    </row>
    <row r="15" spans="1:16" s="1" customFormat="1" ht="15" customHeight="1" thickBot="1" x14ac:dyDescent="0.35">
      <c r="A15" s="20" t="s">
        <v>46</v>
      </c>
      <c r="B15" s="21" t="s">
        <v>47</v>
      </c>
      <c r="C15" s="22">
        <v>410</v>
      </c>
      <c r="D15" s="7">
        <f t="shared" si="0"/>
        <v>0.94550653783179206</v>
      </c>
      <c r="E15" s="21">
        <v>30.25</v>
      </c>
      <c r="F15" s="21">
        <v>1</v>
      </c>
      <c r="G15" s="21">
        <v>91</v>
      </c>
      <c r="H15" s="23">
        <v>0.25040000000000001</v>
      </c>
      <c r="I15" s="5"/>
      <c r="J15" s="5"/>
      <c r="K15" s="2"/>
      <c r="L15" s="6"/>
    </row>
    <row r="16" spans="1:16" s="1" customFormat="1" ht="15" customHeight="1" thickBot="1" x14ac:dyDescent="0.35">
      <c r="A16" s="20" t="s">
        <v>48</v>
      </c>
      <c r="B16" s="21" t="s">
        <v>49</v>
      </c>
      <c r="C16" s="22">
        <v>414</v>
      </c>
      <c r="D16" s="7">
        <f t="shared" si="0"/>
        <v>0.95473099185941934</v>
      </c>
      <c r="E16" s="21">
        <v>26.76</v>
      </c>
      <c r="F16" s="21">
        <v>3</v>
      </c>
      <c r="G16" s="21">
        <v>4</v>
      </c>
      <c r="H16" s="23">
        <v>0.2417</v>
      </c>
      <c r="I16" s="5"/>
      <c r="J16" s="5"/>
      <c r="K16" s="2"/>
      <c r="L16" s="6"/>
    </row>
    <row r="17" spans="1:12" s="1" customFormat="1" ht="15" customHeight="1" thickBot="1" x14ac:dyDescent="0.35">
      <c r="A17" s="20" t="s">
        <v>50</v>
      </c>
      <c r="B17" s="21" t="s">
        <v>51</v>
      </c>
      <c r="C17" s="22">
        <v>415</v>
      </c>
      <c r="D17" s="7">
        <f t="shared" si="0"/>
        <v>0.95703710536632614</v>
      </c>
      <c r="E17" s="21">
        <v>26.13</v>
      </c>
      <c r="F17" s="21">
        <v>84</v>
      </c>
      <c r="G17" s="21">
        <v>115</v>
      </c>
      <c r="H17" s="23">
        <v>0.2397</v>
      </c>
      <c r="I17" s="5"/>
      <c r="J17" s="5"/>
      <c r="K17" s="2"/>
      <c r="L17" s="6"/>
    </row>
    <row r="18" spans="1:12" s="1" customFormat="1" ht="15" customHeight="1" thickBot="1" x14ac:dyDescent="0.35">
      <c r="A18" s="20" t="s">
        <v>52</v>
      </c>
      <c r="B18" s="21" t="s">
        <v>53</v>
      </c>
      <c r="C18" s="22">
        <v>416</v>
      </c>
      <c r="D18" s="7">
        <f t="shared" si="0"/>
        <v>0.95934321887323293</v>
      </c>
      <c r="E18" s="21">
        <v>25.8</v>
      </c>
      <c r="F18" s="21">
        <v>3</v>
      </c>
      <c r="G18" s="21">
        <v>6</v>
      </c>
      <c r="H18" s="23">
        <v>0.23730000000000001</v>
      </c>
      <c r="I18" s="5"/>
      <c r="J18" s="5"/>
      <c r="K18" s="2"/>
      <c r="L18" s="6"/>
    </row>
    <row r="19" spans="1:12" s="1" customFormat="1" ht="15" customHeight="1" thickBot="1" x14ac:dyDescent="0.35">
      <c r="A19" s="20" t="s">
        <v>54</v>
      </c>
      <c r="B19" s="21" t="s">
        <v>55</v>
      </c>
      <c r="C19" s="22">
        <v>417.5</v>
      </c>
      <c r="D19" s="7">
        <f t="shared" si="0"/>
        <v>0.96280238913359317</v>
      </c>
      <c r="E19" s="21">
        <v>22.77</v>
      </c>
      <c r="F19" s="21">
        <v>7</v>
      </c>
      <c r="G19" s="21">
        <v>19</v>
      </c>
      <c r="H19" s="23">
        <v>0.2339</v>
      </c>
      <c r="I19" s="5"/>
      <c r="J19" s="5"/>
      <c r="K19" s="2"/>
      <c r="L19" s="6"/>
    </row>
    <row r="20" spans="1:12" s="1" customFormat="1" ht="15" customHeight="1" thickBot="1" x14ac:dyDescent="0.35">
      <c r="A20" s="20" t="s">
        <v>56</v>
      </c>
      <c r="B20" s="21" t="s">
        <v>57</v>
      </c>
      <c r="C20" s="22">
        <v>420</v>
      </c>
      <c r="D20" s="7">
        <f t="shared" si="0"/>
        <v>0.96856767290086021</v>
      </c>
      <c r="E20" s="21">
        <v>21.3</v>
      </c>
      <c r="F20" s="21">
        <v>20</v>
      </c>
      <c r="G20" s="21">
        <v>27</v>
      </c>
      <c r="H20" s="23">
        <v>0.22789999999999999</v>
      </c>
      <c r="I20" s="5"/>
      <c r="J20" s="5"/>
      <c r="K20" s="2"/>
      <c r="L20" s="6"/>
    </row>
    <row r="21" spans="1:12" s="1" customFormat="1" ht="15" customHeight="1" thickBot="1" x14ac:dyDescent="0.35">
      <c r="A21" s="20" t="s">
        <v>58</v>
      </c>
      <c r="B21" s="21" t="s">
        <v>59</v>
      </c>
      <c r="C21" s="22">
        <v>421</v>
      </c>
      <c r="D21" s="7">
        <f t="shared" si="0"/>
        <v>0.970873786407767</v>
      </c>
      <c r="E21" s="21">
        <v>21.27</v>
      </c>
      <c r="F21" s="21">
        <v>6</v>
      </c>
      <c r="G21" s="21">
        <v>8</v>
      </c>
      <c r="H21" s="23">
        <v>0.22550000000000001</v>
      </c>
      <c r="I21" s="5"/>
      <c r="J21" s="5"/>
      <c r="K21" s="2"/>
      <c r="L21" s="6"/>
    </row>
    <row r="22" spans="1:12" s="1" customFormat="1" ht="15" customHeight="1" thickBot="1" x14ac:dyDescent="0.35">
      <c r="A22" s="20" t="s">
        <v>60</v>
      </c>
      <c r="B22" s="21" t="s">
        <v>61</v>
      </c>
      <c r="C22" s="22">
        <v>422.5</v>
      </c>
      <c r="D22" s="7">
        <f t="shared" si="0"/>
        <v>0.97433295666812725</v>
      </c>
      <c r="E22" s="21">
        <v>24.35</v>
      </c>
      <c r="F22" s="21">
        <v>14</v>
      </c>
      <c r="G22" s="21">
        <v>29</v>
      </c>
      <c r="H22" s="23">
        <v>0.22170000000000001</v>
      </c>
      <c r="I22" s="5"/>
      <c r="J22" s="5"/>
      <c r="K22" s="2"/>
      <c r="L22" s="6"/>
    </row>
    <row r="23" spans="1:12" s="1" customFormat="1" ht="15" customHeight="1" thickBot="1" x14ac:dyDescent="0.35">
      <c r="A23" s="20" t="s">
        <v>62</v>
      </c>
      <c r="B23" s="21" t="s">
        <v>63</v>
      </c>
      <c r="C23" s="22">
        <v>424</v>
      </c>
      <c r="D23" s="7">
        <f t="shared" si="0"/>
        <v>0.97779212692848738</v>
      </c>
      <c r="E23" s="21">
        <v>19.12</v>
      </c>
      <c r="F23" s="21">
        <v>3</v>
      </c>
      <c r="G23" s="21">
        <v>8</v>
      </c>
      <c r="H23" s="23">
        <v>0.21790000000000001</v>
      </c>
      <c r="I23" s="5"/>
      <c r="J23" s="5"/>
      <c r="K23" s="2"/>
      <c r="L23" s="6"/>
    </row>
    <row r="24" spans="1:12" s="1" customFormat="1" ht="15" customHeight="1" thickBot="1" x14ac:dyDescent="0.35">
      <c r="A24" s="20" t="s">
        <v>64</v>
      </c>
      <c r="B24" s="21" t="s">
        <v>65</v>
      </c>
      <c r="C24" s="22">
        <v>425</v>
      </c>
      <c r="D24" s="7">
        <f t="shared" si="0"/>
        <v>0.98009824043539429</v>
      </c>
      <c r="E24" s="21">
        <v>17.420000000000002</v>
      </c>
      <c r="F24" s="21">
        <v>31</v>
      </c>
      <c r="G24" s="21">
        <v>126</v>
      </c>
      <c r="H24" s="23">
        <v>0.21529999999999999</v>
      </c>
      <c r="I24" s="5"/>
      <c r="J24" s="5"/>
      <c r="K24" s="2"/>
      <c r="L24" s="6"/>
    </row>
    <row r="25" spans="1:12" s="1" customFormat="1" ht="15" customHeight="1" thickBot="1" x14ac:dyDescent="0.35">
      <c r="A25" s="20" t="s">
        <v>66</v>
      </c>
      <c r="B25" s="21" t="s">
        <v>65</v>
      </c>
      <c r="C25" s="22">
        <v>426</v>
      </c>
      <c r="D25" s="7">
        <f t="shared" si="0"/>
        <v>0.98240435394230108</v>
      </c>
      <c r="E25" s="21">
        <v>16.66</v>
      </c>
      <c r="F25" s="21">
        <v>3</v>
      </c>
      <c r="G25" s="21">
        <v>143</v>
      </c>
      <c r="H25" s="23">
        <v>0.21260000000000001</v>
      </c>
      <c r="I25" s="5"/>
      <c r="J25" s="5"/>
      <c r="K25" s="2"/>
      <c r="L25" s="6"/>
    </row>
    <row r="26" spans="1:12" s="1" customFormat="1" ht="15" customHeight="1" thickBot="1" x14ac:dyDescent="0.35">
      <c r="A26" s="20" t="s">
        <v>67</v>
      </c>
      <c r="B26" s="21" t="s">
        <v>68</v>
      </c>
      <c r="C26" s="22">
        <v>427</v>
      </c>
      <c r="D26" s="7">
        <f t="shared" si="0"/>
        <v>0.98471046744920787</v>
      </c>
      <c r="E26" s="21">
        <v>15.15</v>
      </c>
      <c r="F26" s="21">
        <v>47</v>
      </c>
      <c r="G26" s="21">
        <v>212</v>
      </c>
      <c r="H26" s="23">
        <v>0.2099</v>
      </c>
      <c r="I26" s="5"/>
      <c r="J26" s="5"/>
      <c r="K26" s="2"/>
      <c r="L26" s="6"/>
    </row>
    <row r="27" spans="1:12" s="1" customFormat="1" ht="15" customHeight="1" thickBot="1" x14ac:dyDescent="0.35">
      <c r="A27" s="20" t="s">
        <v>69</v>
      </c>
      <c r="B27" s="21" t="s">
        <v>70</v>
      </c>
      <c r="C27" s="22">
        <v>427.5</v>
      </c>
      <c r="D27" s="7">
        <f t="shared" si="0"/>
        <v>0.98586352420266121</v>
      </c>
      <c r="E27" s="21">
        <v>15.52</v>
      </c>
      <c r="F27" s="21">
        <v>61</v>
      </c>
      <c r="G27" s="21">
        <v>42</v>
      </c>
      <c r="H27" s="23">
        <v>0.20849999999999999</v>
      </c>
      <c r="I27" s="5"/>
      <c r="J27" s="5"/>
      <c r="K27" s="2"/>
      <c r="L27" s="6"/>
    </row>
    <row r="28" spans="1:12" s="1" customFormat="1" ht="15" customHeight="1" thickBot="1" x14ac:dyDescent="0.35">
      <c r="A28" s="20" t="s">
        <v>71</v>
      </c>
      <c r="B28" s="21" t="s">
        <v>72</v>
      </c>
      <c r="C28" s="22">
        <v>428</v>
      </c>
      <c r="D28" s="7">
        <f t="shared" si="0"/>
        <v>0.98701658095611466</v>
      </c>
      <c r="E28" s="21">
        <v>16.21</v>
      </c>
      <c r="F28" s="21">
        <v>13</v>
      </c>
      <c r="G28" s="21">
        <v>67</v>
      </c>
      <c r="H28" s="23">
        <v>0.20710000000000001</v>
      </c>
      <c r="I28" s="5"/>
      <c r="J28" s="5"/>
      <c r="K28" s="2"/>
      <c r="L28" s="6"/>
    </row>
    <row r="29" spans="1:12" s="1" customFormat="1" ht="15" customHeight="1" thickBot="1" x14ac:dyDescent="0.35">
      <c r="A29" s="20" t="s">
        <v>73</v>
      </c>
      <c r="B29" s="21" t="s">
        <v>74</v>
      </c>
      <c r="C29" s="22">
        <v>430</v>
      </c>
      <c r="D29" s="7">
        <f t="shared" si="0"/>
        <v>0.99162880796992825</v>
      </c>
      <c r="E29" s="21">
        <v>13.1</v>
      </c>
      <c r="F29" s="21">
        <v>131</v>
      </c>
      <c r="G29" s="21">
        <v>373</v>
      </c>
      <c r="H29" s="23">
        <v>0.20150000000000001</v>
      </c>
      <c r="I29" s="5"/>
      <c r="J29" s="5"/>
      <c r="K29" s="2"/>
      <c r="L29" s="6"/>
    </row>
    <row r="30" spans="1:12" s="1" customFormat="1" ht="15" customHeight="1" thickBot="1" x14ac:dyDescent="0.35">
      <c r="A30" s="20" t="s">
        <v>75</v>
      </c>
      <c r="B30" s="21" t="s">
        <v>76</v>
      </c>
      <c r="C30" s="22">
        <v>431</v>
      </c>
      <c r="D30" s="7">
        <f t="shared" si="0"/>
        <v>0.99393492147683515</v>
      </c>
      <c r="E30" s="21">
        <v>12.59</v>
      </c>
      <c r="F30" s="21">
        <v>113</v>
      </c>
      <c r="G30" s="21">
        <v>143</v>
      </c>
      <c r="H30" s="23">
        <v>0.20737544484050696</v>
      </c>
      <c r="I30" s="5">
        <f t="shared" ref="I30" si="5">(LN($M$2/C30)+($O$2-$P$2+0.5*H30^2)*$N$2)/(H30*SQRT($N$2))</f>
        <v>0.1047701538895051</v>
      </c>
      <c r="J30" s="5">
        <f t="shared" ref="J30" si="6">I30-H30*SQRT($N$2)</f>
        <v>3.785835640265342E-2</v>
      </c>
      <c r="K30" s="2">
        <f t="shared" ref="K30" si="7">-C30*$M$5*_xlfn.NORM.S.DIST(J30,TRUE)+$N$5*_xlfn.NORM.S.DIST(I30,TRUE)</f>
        <v>12.589999999999804</v>
      </c>
      <c r="L30" s="6">
        <f t="shared" ref="L30" si="8">(E30-K30)^2</f>
        <v>3.8180867812696971E-26</v>
      </c>
    </row>
    <row r="31" spans="1:12" s="1" customFormat="1" ht="15" customHeight="1" thickBot="1" x14ac:dyDescent="0.35">
      <c r="A31" s="20" t="s">
        <v>77</v>
      </c>
      <c r="B31" s="21" t="s">
        <v>78</v>
      </c>
      <c r="C31" s="22">
        <v>432</v>
      </c>
      <c r="D31" s="7">
        <f t="shared" si="0"/>
        <v>0.99624103498374195</v>
      </c>
      <c r="E31" s="21">
        <v>12</v>
      </c>
      <c r="F31" s="21">
        <v>48</v>
      </c>
      <c r="G31" s="21">
        <v>269</v>
      </c>
      <c r="H31" s="23">
        <v>0.1946</v>
      </c>
      <c r="I31" s="5"/>
      <c r="J31" s="5"/>
      <c r="K31" s="2"/>
      <c r="L31" s="6"/>
    </row>
    <row r="32" spans="1:12" s="1" customFormat="1" ht="15" customHeight="1" thickBot="1" x14ac:dyDescent="0.35">
      <c r="A32" s="20" t="s">
        <v>79</v>
      </c>
      <c r="B32" s="21" t="s">
        <v>80</v>
      </c>
      <c r="C32" s="22">
        <v>432.5</v>
      </c>
      <c r="D32" s="7">
        <f t="shared" si="0"/>
        <v>0.99739409173719529</v>
      </c>
      <c r="E32" s="21">
        <v>12</v>
      </c>
      <c r="F32" s="21">
        <v>77</v>
      </c>
      <c r="G32" s="21">
        <v>78</v>
      </c>
      <c r="H32" s="23">
        <v>0.2103769615705175</v>
      </c>
      <c r="I32" s="5">
        <f t="shared" ref="I32" si="9">(LN($M$2/C32)+($O$2-$P$2+0.5*H32^2)*$N$2)/(H32*SQRT($N$2))</f>
        <v>5.3055095673652457E-2</v>
      </c>
      <c r="J32" s="5">
        <f t="shared" ref="J32" si="10">I32-H32*SQRT($N$2)</f>
        <v>-1.4825171728942273E-2</v>
      </c>
      <c r="K32" s="2">
        <f t="shared" ref="K32" si="11">-C32*$M$5*_xlfn.NORM.S.DIST(J32,TRUE)+$N$5*_xlfn.NORM.S.DIST(I32,TRUE)</f>
        <v>12.000000000000028</v>
      </c>
      <c r="L32" s="6">
        <f t="shared" ref="L32" si="12">(E32-K32)^2</f>
        <v>8.0779356694631609E-28</v>
      </c>
    </row>
    <row r="33" spans="1:12" s="1" customFormat="1" ht="15" customHeight="1" thickBot="1" x14ac:dyDescent="0.35">
      <c r="A33" s="24" t="s">
        <v>81</v>
      </c>
      <c r="B33" s="25" t="s">
        <v>82</v>
      </c>
      <c r="C33" s="26">
        <v>434</v>
      </c>
      <c r="D33" s="7">
        <f t="shared" si="0"/>
        <v>1.0008532619975554</v>
      </c>
      <c r="E33" s="25">
        <v>10.41</v>
      </c>
      <c r="F33" s="25">
        <v>81</v>
      </c>
      <c r="G33" s="25">
        <v>268</v>
      </c>
      <c r="H33" s="27">
        <v>0.19487418395643058</v>
      </c>
      <c r="I33" s="5">
        <f t="shared" ref="I33:I96" si="13">(LN($M$2/C33)+($O$2-$P$2+0.5*H33^2)*$N$2)/(H33*SQRT($N$2))</f>
        <v>-2.9875065547606779E-3</v>
      </c>
      <c r="J33" s="5">
        <f t="shared" ref="J33:J96" si="14">I33-H33*SQRT($N$2)</f>
        <v>-6.5865645007154541E-2</v>
      </c>
      <c r="K33" s="2">
        <f t="shared" ref="K33:K96" si="15">-C33*$M$5*_xlfn.NORM.S.DIST(J33,TRUE)+$N$5*_xlfn.NORM.S.DIST(I33,TRUE)</f>
        <v>10.409998750787537</v>
      </c>
      <c r="L33" s="6">
        <f t="shared" ref="L33:L96" si="16">(E33-K33)^2</f>
        <v>1.5605317783395323E-12</v>
      </c>
    </row>
    <row r="34" spans="1:12" s="1" customFormat="1" ht="15" customHeight="1" thickBot="1" x14ac:dyDescent="0.35">
      <c r="A34" s="24" t="s">
        <v>83</v>
      </c>
      <c r="B34" s="25" t="s">
        <v>84</v>
      </c>
      <c r="C34" s="26">
        <v>435</v>
      </c>
      <c r="D34" s="7">
        <f t="shared" si="0"/>
        <v>1.0031593755044623</v>
      </c>
      <c r="E34" s="25">
        <v>9.61</v>
      </c>
      <c r="F34" s="25">
        <v>521</v>
      </c>
      <c r="G34" s="25">
        <v>965</v>
      </c>
      <c r="H34" s="27">
        <v>0.18888506277258515</v>
      </c>
      <c r="I34" s="5">
        <f t="shared" si="13"/>
        <v>-4.2808403272087382E-2</v>
      </c>
      <c r="J34" s="5">
        <f t="shared" si="14"/>
        <v>-0.10375409083047163</v>
      </c>
      <c r="K34" s="2">
        <f t="shared" si="15"/>
        <v>9.6099914336026018</v>
      </c>
      <c r="L34" s="6">
        <f>(E34-K34)^2</f>
        <v>7.3383164374601161E-11</v>
      </c>
    </row>
    <row r="35" spans="1:12" s="1" customFormat="1" ht="15" customHeight="1" thickBot="1" x14ac:dyDescent="0.35">
      <c r="A35" s="24" t="s">
        <v>85</v>
      </c>
      <c r="B35" s="25" t="s">
        <v>84</v>
      </c>
      <c r="C35" s="26">
        <v>436</v>
      </c>
      <c r="D35" s="7">
        <f t="shared" si="0"/>
        <v>1.0054654890113692</v>
      </c>
      <c r="E35" s="25">
        <v>8.9700000000000006</v>
      </c>
      <c r="F35" s="25">
        <v>445</v>
      </c>
      <c r="G35" s="25">
        <v>161</v>
      </c>
      <c r="H35" s="27">
        <v>0.18279999999999999</v>
      </c>
      <c r="I35" s="5">
        <f t="shared" si="13"/>
        <v>-8.5160043840996943E-2</v>
      </c>
      <c r="J35" s="5">
        <f t="shared" si="14"/>
        <v>-0.14414232397548321</v>
      </c>
      <c r="K35" s="2">
        <f t="shared" si="15"/>
        <v>8.8207593181497543</v>
      </c>
      <c r="L35" s="6">
        <f t="shared" si="16"/>
        <v>2.2272781119126436E-2</v>
      </c>
    </row>
    <row r="36" spans="1:12" s="1" customFormat="1" ht="15" customHeight="1" thickBot="1" x14ac:dyDescent="0.35">
      <c r="A36" s="24" t="s">
        <v>86</v>
      </c>
      <c r="B36" s="25" t="s">
        <v>87</v>
      </c>
      <c r="C36" s="26">
        <v>437</v>
      </c>
      <c r="D36" s="7">
        <f t="shared" si="0"/>
        <v>1.0077716025182759</v>
      </c>
      <c r="E36" s="25">
        <v>8.4600000000000009</v>
      </c>
      <c r="F36" s="28">
        <v>2529</v>
      </c>
      <c r="G36" s="25">
        <v>109</v>
      </c>
      <c r="H36" s="27">
        <v>0.17979999999999999</v>
      </c>
      <c r="I36" s="5">
        <f t="shared" si="13"/>
        <v>-0.12704644482558158</v>
      </c>
      <c r="J36" s="5">
        <f t="shared" si="14"/>
        <v>-0.18506074443269663</v>
      </c>
      <c r="K36" s="2">
        <f t="shared" si="15"/>
        <v>8.2198231991206683</v>
      </c>
      <c r="L36" s="6">
        <f t="shared" si="16"/>
        <v>5.7684895680630566E-2</v>
      </c>
    </row>
    <row r="37" spans="1:12" s="1" customFormat="1" ht="15" customHeight="1" thickBot="1" x14ac:dyDescent="0.35">
      <c r="A37" s="24" t="s">
        <v>88</v>
      </c>
      <c r="B37" s="25" t="s">
        <v>89</v>
      </c>
      <c r="C37" s="26">
        <v>437.5</v>
      </c>
      <c r="D37" s="7">
        <f t="shared" si="0"/>
        <v>1.0089246592717294</v>
      </c>
      <c r="E37" s="25">
        <v>9.25</v>
      </c>
      <c r="F37" s="25">
        <v>50</v>
      </c>
      <c r="G37" s="25">
        <v>89</v>
      </c>
      <c r="H37" s="27">
        <v>0.17829999999999999</v>
      </c>
      <c r="I37" s="5">
        <f t="shared" si="13"/>
        <v>-0.1484779509544113</v>
      </c>
      <c r="J37" s="5">
        <f t="shared" si="14"/>
        <v>-0.20600826029784075</v>
      </c>
      <c r="K37" s="2">
        <f t="shared" si="15"/>
        <v>7.9257593081799769</v>
      </c>
      <c r="L37" s="6">
        <f t="shared" si="16"/>
        <v>1.7536134098719736</v>
      </c>
    </row>
    <row r="38" spans="1:12" s="1" customFormat="1" ht="15" customHeight="1" thickBot="1" x14ac:dyDescent="0.35">
      <c r="A38" s="24" t="s">
        <v>90</v>
      </c>
      <c r="B38" s="25" t="s">
        <v>91</v>
      </c>
      <c r="C38" s="26">
        <v>438</v>
      </c>
      <c r="D38" s="7">
        <f t="shared" si="0"/>
        <v>1.0100777160251828</v>
      </c>
      <c r="E38" s="25">
        <v>7.97</v>
      </c>
      <c r="F38" s="25">
        <v>161</v>
      </c>
      <c r="G38" s="25">
        <v>236</v>
      </c>
      <c r="H38" s="27">
        <v>0.1767</v>
      </c>
      <c r="I38" s="5">
        <f t="shared" si="13"/>
        <v>-0.17037473446343465</v>
      </c>
      <c r="J38" s="5">
        <f t="shared" si="14"/>
        <v>-0.22738878752559943</v>
      </c>
      <c r="K38" s="2">
        <f t="shared" si="15"/>
        <v>7.6305897818428434</v>
      </c>
      <c r="L38" s="6">
        <f t="shared" si="16"/>
        <v>0.11519929618948845</v>
      </c>
    </row>
    <row r="39" spans="1:12" s="1" customFormat="1" ht="15" customHeight="1" thickBot="1" x14ac:dyDescent="0.35">
      <c r="A39" s="24" t="s">
        <v>92</v>
      </c>
      <c r="B39" s="25" t="s">
        <v>91</v>
      </c>
      <c r="C39" s="26">
        <v>439</v>
      </c>
      <c r="D39" s="7">
        <f t="shared" si="0"/>
        <v>1.0123838295320895</v>
      </c>
      <c r="E39" s="25">
        <v>7.37</v>
      </c>
      <c r="F39" s="25">
        <v>79</v>
      </c>
      <c r="G39" s="25">
        <v>373</v>
      </c>
      <c r="H39" s="27">
        <v>0.1736</v>
      </c>
      <c r="I39" s="5">
        <f t="shared" si="13"/>
        <v>-0.2151395425909117</v>
      </c>
      <c r="J39" s="5">
        <f t="shared" si="14"/>
        <v>-0.27115334910812622</v>
      </c>
      <c r="K39" s="2">
        <f t="shared" si="15"/>
        <v>7.0593640071017205</v>
      </c>
      <c r="L39" s="6">
        <f t="shared" si="16"/>
        <v>9.6494720083900004E-2</v>
      </c>
    </row>
    <row r="40" spans="1:12" s="1" customFormat="1" ht="15" customHeight="1" thickBot="1" x14ac:dyDescent="0.35">
      <c r="A40" s="24" t="s">
        <v>93</v>
      </c>
      <c r="B40" s="25" t="s">
        <v>87</v>
      </c>
      <c r="C40" s="26">
        <v>440</v>
      </c>
      <c r="D40" s="7">
        <f t="shared" si="0"/>
        <v>1.0146899430389964</v>
      </c>
      <c r="E40" s="25">
        <v>6.74</v>
      </c>
      <c r="F40" s="25">
        <v>377</v>
      </c>
      <c r="G40" s="25">
        <v>581</v>
      </c>
      <c r="H40" s="27">
        <v>0.17050000000000001</v>
      </c>
      <c r="I40" s="5">
        <f t="shared" si="13"/>
        <v>-0.26141965593825478</v>
      </c>
      <c r="J40" s="5">
        <f t="shared" si="14"/>
        <v>-0.31643321591051904</v>
      </c>
      <c r="K40" s="2">
        <f t="shared" si="15"/>
        <v>6.5069065523408938</v>
      </c>
      <c r="L40" s="6">
        <f t="shared" si="16"/>
        <v>5.4332555341608593E-2</v>
      </c>
    </row>
    <row r="41" spans="1:12" s="1" customFormat="1" ht="15" customHeight="1" thickBot="1" x14ac:dyDescent="0.35">
      <c r="A41" s="24" t="s">
        <v>94</v>
      </c>
      <c r="B41" s="25" t="s">
        <v>82</v>
      </c>
      <c r="C41" s="26">
        <v>441</v>
      </c>
      <c r="D41" s="7">
        <f t="shared" si="0"/>
        <v>1.0169960565459033</v>
      </c>
      <c r="E41" s="25">
        <v>6.25</v>
      </c>
      <c r="F41" s="25">
        <v>45</v>
      </c>
      <c r="G41" s="25">
        <v>480</v>
      </c>
      <c r="H41" s="27">
        <v>0.16750000000000001</v>
      </c>
      <c r="I41" s="5">
        <f t="shared" si="13"/>
        <v>-0.30908278137906597</v>
      </c>
      <c r="J41" s="5">
        <f t="shared" si="14"/>
        <v>-0.36312836082395905</v>
      </c>
      <c r="K41" s="2">
        <f t="shared" si="15"/>
        <v>5.9792970124933902</v>
      </c>
      <c r="L41" s="6">
        <f t="shared" si="16"/>
        <v>7.3280107445003753E-2</v>
      </c>
    </row>
    <row r="42" spans="1:12" s="1" customFormat="1" ht="15" customHeight="1" thickBot="1" x14ac:dyDescent="0.35">
      <c r="A42" s="24" t="s">
        <v>95</v>
      </c>
      <c r="B42" s="25" t="s">
        <v>96</v>
      </c>
      <c r="C42" s="26">
        <v>442</v>
      </c>
      <c r="D42" s="7">
        <f t="shared" si="0"/>
        <v>1.01930217005281</v>
      </c>
      <c r="E42" s="25">
        <v>5.89</v>
      </c>
      <c r="F42" s="25">
        <v>83</v>
      </c>
      <c r="G42" s="25">
        <v>667</v>
      </c>
      <c r="H42" s="27">
        <v>0.16450000000000001</v>
      </c>
      <c r="I42" s="5">
        <f t="shared" si="13"/>
        <v>-0.35836985112727349</v>
      </c>
      <c r="J42" s="5">
        <f t="shared" si="14"/>
        <v>-0.41144745004479533</v>
      </c>
      <c r="K42" s="2">
        <f t="shared" si="15"/>
        <v>5.471811620276128</v>
      </c>
      <c r="L42" s="6">
        <f t="shared" si="16"/>
        <v>0.17488152093607709</v>
      </c>
    </row>
    <row r="43" spans="1:12" s="1" customFormat="1" ht="15" customHeight="1" thickBot="1" x14ac:dyDescent="0.35">
      <c r="A43" s="24" t="s">
        <v>97</v>
      </c>
      <c r="B43" s="25" t="s">
        <v>65</v>
      </c>
      <c r="C43" s="26">
        <v>442.5</v>
      </c>
      <c r="D43" s="7">
        <f t="shared" si="0"/>
        <v>1.0204552268062634</v>
      </c>
      <c r="E43" s="25">
        <v>5.86</v>
      </c>
      <c r="F43" s="25">
        <v>14</v>
      </c>
      <c r="G43" s="25">
        <v>587</v>
      </c>
      <c r="H43" s="27">
        <v>0.16300000000000001</v>
      </c>
      <c r="I43" s="5">
        <f t="shared" si="13"/>
        <v>-0.38365052383390758</v>
      </c>
      <c r="J43" s="5">
        <f t="shared" si="14"/>
        <v>-0.4362441324877438</v>
      </c>
      <c r="K43" s="2">
        <f t="shared" si="15"/>
        <v>5.2258384523348411</v>
      </c>
      <c r="L43" s="6">
        <f t="shared" si="16"/>
        <v>0.40216086853707</v>
      </c>
    </row>
    <row r="44" spans="1:12" s="1" customFormat="1" ht="15" customHeight="1" thickBot="1" x14ac:dyDescent="0.35">
      <c r="A44" s="24" t="s">
        <v>98</v>
      </c>
      <c r="B44" s="25" t="s">
        <v>65</v>
      </c>
      <c r="C44" s="26">
        <v>443</v>
      </c>
      <c r="D44" s="7">
        <f t="shared" si="0"/>
        <v>1.0216082835597169</v>
      </c>
      <c r="E44" s="25">
        <v>5.59</v>
      </c>
      <c r="F44" s="25">
        <v>106</v>
      </c>
      <c r="G44" s="25">
        <v>882</v>
      </c>
      <c r="H44" s="27">
        <v>0.16159999999999999</v>
      </c>
      <c r="I44" s="5">
        <f t="shared" si="13"/>
        <v>-0.40908622944150835</v>
      </c>
      <c r="J44" s="5">
        <f t="shared" si="14"/>
        <v>-0.46122811384923801</v>
      </c>
      <c r="K44" s="2">
        <f t="shared" si="15"/>
        <v>4.9902882627693259</v>
      </c>
      <c r="L44" s="6">
        <f t="shared" si="16"/>
        <v>0.35965416777223291</v>
      </c>
    </row>
    <row r="45" spans="1:12" s="1" customFormat="1" ht="15" customHeight="1" thickBot="1" x14ac:dyDescent="0.35">
      <c r="A45" s="24" t="s">
        <v>99</v>
      </c>
      <c r="B45" s="25" t="s">
        <v>100</v>
      </c>
      <c r="C45" s="26">
        <v>444</v>
      </c>
      <c r="D45" s="7">
        <f t="shared" si="0"/>
        <v>1.0239143970666236</v>
      </c>
      <c r="E45" s="25">
        <v>5.13</v>
      </c>
      <c r="F45" s="25">
        <v>91</v>
      </c>
      <c r="G45" s="25">
        <v>778</v>
      </c>
      <c r="H45" s="27">
        <v>0.1585</v>
      </c>
      <c r="I45" s="5">
        <f t="shared" si="13"/>
        <v>-0.4621864835849494</v>
      </c>
      <c r="J45" s="5">
        <f t="shared" si="14"/>
        <v>-0.51332812144772877</v>
      </c>
      <c r="K45" s="2">
        <f t="shared" si="15"/>
        <v>4.5200390122564329</v>
      </c>
      <c r="L45" s="6">
        <f t="shared" si="16"/>
        <v>0.37205240656910787</v>
      </c>
    </row>
    <row r="46" spans="1:12" s="1" customFormat="1" ht="15" customHeight="1" thickBot="1" x14ac:dyDescent="0.35">
      <c r="A46" s="24" t="s">
        <v>101</v>
      </c>
      <c r="B46" s="25" t="s">
        <v>87</v>
      </c>
      <c r="C46" s="26">
        <v>445</v>
      </c>
      <c r="D46" s="7">
        <f t="shared" si="0"/>
        <v>1.0262205105735305</v>
      </c>
      <c r="E46" s="25">
        <v>4.24</v>
      </c>
      <c r="F46" s="28">
        <v>21806</v>
      </c>
      <c r="G46" s="28">
        <v>1168</v>
      </c>
      <c r="H46" s="27">
        <v>0.15559999999999999</v>
      </c>
      <c r="I46" s="5">
        <f t="shared" si="13"/>
        <v>-0.51655478004123101</v>
      </c>
      <c r="J46" s="5">
        <f t="shared" si="14"/>
        <v>-0.56676070339421825</v>
      </c>
      <c r="K46" s="2">
        <f t="shared" si="15"/>
        <v>4.0819832131065681</v>
      </c>
      <c r="L46" s="6">
        <f t="shared" si="16"/>
        <v>2.4969304940124344E-2</v>
      </c>
    </row>
    <row r="47" spans="1:12" s="1" customFormat="1" ht="15" customHeight="1" thickBot="1" x14ac:dyDescent="0.35">
      <c r="A47" s="24" t="s">
        <v>102</v>
      </c>
      <c r="B47" s="25" t="s">
        <v>96</v>
      </c>
      <c r="C47" s="26">
        <v>446</v>
      </c>
      <c r="D47" s="7">
        <f t="shared" si="0"/>
        <v>1.0285266240804372</v>
      </c>
      <c r="E47" s="25">
        <v>3.99</v>
      </c>
      <c r="F47" s="25">
        <v>164</v>
      </c>
      <c r="G47" s="25">
        <v>619</v>
      </c>
      <c r="H47" s="27">
        <v>0.15290000000000001</v>
      </c>
      <c r="I47" s="5">
        <f t="shared" si="13"/>
        <v>-0.5720540553537623</v>
      </c>
      <c r="J47" s="5">
        <f t="shared" si="14"/>
        <v>-0.6213887962321154</v>
      </c>
      <c r="K47" s="2">
        <f t="shared" si="15"/>
        <v>3.6759062450735627</v>
      </c>
      <c r="L47" s="6">
        <f t="shared" si="16"/>
        <v>9.8654886883789011E-2</v>
      </c>
    </row>
    <row r="48" spans="1:12" s="1" customFormat="1" ht="15" customHeight="1" thickBot="1" x14ac:dyDescent="0.35">
      <c r="A48" s="24" t="s">
        <v>103</v>
      </c>
      <c r="B48" s="25" t="s">
        <v>104</v>
      </c>
      <c r="C48" s="26">
        <v>447</v>
      </c>
      <c r="D48" s="7">
        <f t="shared" si="0"/>
        <v>1.0308327375873441</v>
      </c>
      <c r="E48" s="25">
        <v>3.86</v>
      </c>
      <c r="F48" s="25">
        <v>90</v>
      </c>
      <c r="G48" s="25">
        <v>319</v>
      </c>
      <c r="H48" s="27">
        <v>0.15010000000000001</v>
      </c>
      <c r="I48" s="5">
        <f t="shared" si="13"/>
        <v>-0.62988086766801021</v>
      </c>
      <c r="J48" s="5">
        <f t="shared" si="14"/>
        <v>-0.67831216005415018</v>
      </c>
      <c r="K48" s="2">
        <f t="shared" si="15"/>
        <v>3.2876457723714765</v>
      </c>
      <c r="L48" s="6">
        <f t="shared" si="16"/>
        <v>0.32758936188424359</v>
      </c>
    </row>
    <row r="49" spans="1:12" s="1" customFormat="1" ht="15" customHeight="1" thickBot="1" x14ac:dyDescent="0.35">
      <c r="A49" s="24" t="s">
        <v>105</v>
      </c>
      <c r="B49" s="25" t="s">
        <v>106</v>
      </c>
      <c r="C49" s="26">
        <v>447.5</v>
      </c>
      <c r="D49" s="7">
        <f t="shared" si="0"/>
        <v>1.0319857943407975</v>
      </c>
      <c r="E49" s="25">
        <v>3.7</v>
      </c>
      <c r="F49" s="25">
        <v>130</v>
      </c>
      <c r="G49" s="25">
        <v>269</v>
      </c>
      <c r="H49" s="27">
        <v>0.1487</v>
      </c>
      <c r="I49" s="5">
        <f t="shared" si="13"/>
        <v>-0.65956540169533928</v>
      </c>
      <c r="J49" s="5">
        <f t="shared" si="14"/>
        <v>-0.70754496983537274</v>
      </c>
      <c r="K49" s="2">
        <f t="shared" si="15"/>
        <v>3.1021562458065262</v>
      </c>
      <c r="L49" s="6">
        <f t="shared" si="16"/>
        <v>0.35741715442814698</v>
      </c>
    </row>
    <row r="50" spans="1:12" s="1" customFormat="1" ht="15" customHeight="1" thickBot="1" x14ac:dyDescent="0.35">
      <c r="A50" s="24" t="s">
        <v>107</v>
      </c>
      <c r="B50" s="25" t="s">
        <v>108</v>
      </c>
      <c r="C50" s="26">
        <v>448</v>
      </c>
      <c r="D50" s="7">
        <f t="shared" si="0"/>
        <v>1.033138851094251</v>
      </c>
      <c r="E50" s="25">
        <v>3.61</v>
      </c>
      <c r="F50" s="25">
        <v>63</v>
      </c>
      <c r="G50" s="28">
        <v>1704</v>
      </c>
      <c r="H50" s="27">
        <v>0.1472</v>
      </c>
      <c r="I50" s="5">
        <f t="shared" si="13"/>
        <v>-0.69028452373878324</v>
      </c>
      <c r="J50" s="5">
        <f t="shared" si="14"/>
        <v>-0.73778010161513108</v>
      </c>
      <c r="K50" s="2">
        <f t="shared" si="15"/>
        <v>2.9180938616892291</v>
      </c>
      <c r="L50" s="6">
        <f t="shared" si="16"/>
        <v>0.47873410423212343</v>
      </c>
    </row>
    <row r="51" spans="1:12" s="1" customFormat="1" ht="15" customHeight="1" thickBot="1" x14ac:dyDescent="0.35">
      <c r="A51" s="24" t="s">
        <v>109</v>
      </c>
      <c r="B51" s="25" t="s">
        <v>110</v>
      </c>
      <c r="C51" s="26">
        <v>449</v>
      </c>
      <c r="D51" s="7">
        <f t="shared" si="0"/>
        <v>1.0354449646011576</v>
      </c>
      <c r="E51" s="25">
        <v>2.7</v>
      </c>
      <c r="F51" s="25">
        <v>234</v>
      </c>
      <c r="G51" s="25">
        <v>252</v>
      </c>
      <c r="H51" s="27">
        <v>0.1447</v>
      </c>
      <c r="I51" s="5">
        <f t="shared" si="13"/>
        <v>-0.75077982279714983</v>
      </c>
      <c r="J51" s="5">
        <f t="shared" si="14"/>
        <v>-0.79746875023402164</v>
      </c>
      <c r="K51" s="2">
        <f t="shared" si="15"/>
        <v>2.5891651997886953</v>
      </c>
      <c r="L51" s="6">
        <f t="shared" si="16"/>
        <v>1.2284352937879868E-2</v>
      </c>
    </row>
    <row r="52" spans="1:12" s="1" customFormat="1" ht="15" customHeight="1" thickBot="1" x14ac:dyDescent="0.35">
      <c r="A52" s="24" t="s">
        <v>111</v>
      </c>
      <c r="B52" s="25" t="s">
        <v>74</v>
      </c>
      <c r="C52" s="26">
        <v>450</v>
      </c>
      <c r="D52" s="7">
        <f t="shared" si="0"/>
        <v>1.0377510781080646</v>
      </c>
      <c r="E52" s="25">
        <v>2.39</v>
      </c>
      <c r="F52" s="28">
        <v>1410</v>
      </c>
      <c r="G52" s="28">
        <v>2654</v>
      </c>
      <c r="H52" s="27">
        <v>0.1421</v>
      </c>
      <c r="I52" s="5">
        <f t="shared" si="13"/>
        <v>-0.81388455774546464</v>
      </c>
      <c r="J52" s="5">
        <f t="shared" si="14"/>
        <v>-0.85973456872528142</v>
      </c>
      <c r="K52" s="2">
        <f t="shared" si="15"/>
        <v>2.2786889124565022</v>
      </c>
      <c r="L52" s="6">
        <f t="shared" si="16"/>
        <v>1.2390158210116263E-2</v>
      </c>
    </row>
    <row r="53" spans="1:12" s="1" customFormat="1" ht="15" customHeight="1" thickBot="1" x14ac:dyDescent="0.35">
      <c r="A53" s="24" t="s">
        <v>112</v>
      </c>
      <c r="B53" s="25" t="s">
        <v>74</v>
      </c>
      <c r="C53" s="26">
        <v>451</v>
      </c>
      <c r="D53" s="7">
        <f t="shared" si="0"/>
        <v>1.0400571916149712</v>
      </c>
      <c r="E53" s="25">
        <v>2.09</v>
      </c>
      <c r="F53" s="25">
        <v>64</v>
      </c>
      <c r="G53" s="28">
        <v>1353</v>
      </c>
      <c r="H53" s="27">
        <v>0.13969999999999999</v>
      </c>
      <c r="I53" s="5">
        <f t="shared" si="13"/>
        <v>-0.87789302928553914</v>
      </c>
      <c r="J53" s="5">
        <f t="shared" si="14"/>
        <v>-0.92296865584345889</v>
      </c>
      <c r="K53" s="2">
        <f t="shared" si="15"/>
        <v>1.9986859442167599</v>
      </c>
      <c r="L53" s="6">
        <f t="shared" si="16"/>
        <v>8.3382567835846525E-3</v>
      </c>
    </row>
    <row r="54" spans="1:12" s="1" customFormat="1" ht="15" customHeight="1" thickBot="1" x14ac:dyDescent="0.35">
      <c r="A54" s="24" t="s">
        <v>113</v>
      </c>
      <c r="B54" s="25" t="s">
        <v>114</v>
      </c>
      <c r="C54" s="26">
        <v>452</v>
      </c>
      <c r="D54" s="7">
        <f t="shared" si="0"/>
        <v>1.0423633051218781</v>
      </c>
      <c r="E54" s="25">
        <v>1.85</v>
      </c>
      <c r="F54" s="25">
        <v>80</v>
      </c>
      <c r="G54" s="28">
        <v>3028</v>
      </c>
      <c r="H54" s="27">
        <v>0.13750000000000001</v>
      </c>
      <c r="I54" s="5">
        <f t="shared" si="13"/>
        <v>-0.94257712285077833</v>
      </c>
      <c r="J54" s="5">
        <f t="shared" si="14"/>
        <v>-0.98694289702195914</v>
      </c>
      <c r="K54" s="2">
        <f t="shared" si="15"/>
        <v>1.7477620723763323</v>
      </c>
      <c r="L54" s="6">
        <f t="shared" si="16"/>
        <v>1.0452593844782334E-2</v>
      </c>
    </row>
    <row r="55" spans="1:12" s="1" customFormat="1" ht="15" customHeight="1" thickBot="1" x14ac:dyDescent="0.35">
      <c r="A55" s="24" t="s">
        <v>115</v>
      </c>
      <c r="B55" s="25" t="s">
        <v>116</v>
      </c>
      <c r="C55" s="26">
        <v>452.5</v>
      </c>
      <c r="D55" s="7">
        <f t="shared" si="0"/>
        <v>1.0435163618753316</v>
      </c>
      <c r="E55" s="25">
        <v>2.12</v>
      </c>
      <c r="F55" s="25">
        <v>475</v>
      </c>
      <c r="G55" s="25">
        <v>990</v>
      </c>
      <c r="H55" s="27">
        <v>0.13650000000000001</v>
      </c>
      <c r="I55" s="5">
        <f t="shared" si="13"/>
        <v>-0.97490858837232197</v>
      </c>
      <c r="J55" s="5">
        <f t="shared" si="14"/>
        <v>-1.0189517023677124</v>
      </c>
      <c r="K55" s="2">
        <f t="shared" si="15"/>
        <v>1.6335793988185827</v>
      </c>
      <c r="L55" s="6">
        <f t="shared" si="16"/>
        <v>0.23660500125369152</v>
      </c>
    </row>
    <row r="56" spans="1:12" s="1" customFormat="1" ht="15" customHeight="1" thickBot="1" x14ac:dyDescent="0.35">
      <c r="A56" s="24" t="s">
        <v>117</v>
      </c>
      <c r="B56" s="25" t="s">
        <v>118</v>
      </c>
      <c r="C56" s="26">
        <v>453</v>
      </c>
      <c r="D56" s="7">
        <f t="shared" si="0"/>
        <v>1.0446694186287848</v>
      </c>
      <c r="E56" s="25">
        <v>1.86</v>
      </c>
      <c r="F56" s="25">
        <v>143</v>
      </c>
      <c r="G56" s="25">
        <v>296</v>
      </c>
      <c r="H56" s="27">
        <v>0.1353</v>
      </c>
      <c r="I56" s="5">
        <f t="shared" si="13"/>
        <v>-1.0092411023904471</v>
      </c>
      <c r="J56" s="5">
        <f t="shared" si="14"/>
        <v>-1.052897024174889</v>
      </c>
      <c r="K56" s="2">
        <f t="shared" si="15"/>
        <v>1.517616843919626</v>
      </c>
      <c r="L56" s="6">
        <f t="shared" si="16"/>
        <v>0.11722622556755778</v>
      </c>
    </row>
    <row r="57" spans="1:12" s="1" customFormat="1" ht="15" customHeight="1" thickBot="1" x14ac:dyDescent="0.35">
      <c r="A57" s="24" t="s">
        <v>119</v>
      </c>
      <c r="B57" s="25" t="s">
        <v>84</v>
      </c>
      <c r="C57" s="26">
        <v>454</v>
      </c>
      <c r="D57" s="7">
        <f t="shared" si="0"/>
        <v>1.0469755321356917</v>
      </c>
      <c r="E57" s="25">
        <v>1.35</v>
      </c>
      <c r="F57" s="25">
        <v>43</v>
      </c>
      <c r="G57" s="25">
        <v>811</v>
      </c>
      <c r="H57" s="27">
        <v>0.13339999999999999</v>
      </c>
      <c r="I57" s="5">
        <f t="shared" si="13"/>
        <v>-1.0754627064161484</v>
      </c>
      <c r="J57" s="5">
        <f t="shared" si="14"/>
        <v>-1.1185055738665886</v>
      </c>
      <c r="K57" s="2">
        <f t="shared" si="15"/>
        <v>1.3172121199919928</v>
      </c>
      <c r="L57" s="6">
        <f t="shared" si="16"/>
        <v>1.0750450754194818E-3</v>
      </c>
    </row>
    <row r="58" spans="1:12" s="1" customFormat="1" ht="15" customHeight="1" thickBot="1" x14ac:dyDescent="0.35">
      <c r="A58" s="24" t="s">
        <v>120</v>
      </c>
      <c r="B58" s="25" t="s">
        <v>121</v>
      </c>
      <c r="C58" s="26">
        <v>455</v>
      </c>
      <c r="D58" s="7">
        <f t="shared" si="0"/>
        <v>1.0492816456425986</v>
      </c>
      <c r="E58" s="25">
        <v>1.25</v>
      </c>
      <c r="F58" s="25">
        <v>824</v>
      </c>
      <c r="G58" s="28">
        <v>2276</v>
      </c>
      <c r="H58" s="27">
        <v>0.1318</v>
      </c>
      <c r="I58" s="5">
        <f t="shared" si="13"/>
        <v>-1.1407752977819936</v>
      </c>
      <c r="J58" s="5">
        <f t="shared" si="14"/>
        <v>-1.1833019089511692</v>
      </c>
      <c r="K58" s="2">
        <f t="shared" si="15"/>
        <v>1.1439878392251757</v>
      </c>
      <c r="L58" s="6">
        <f t="shared" si="16"/>
        <v>1.1238578232147203E-2</v>
      </c>
    </row>
    <row r="59" spans="1:12" s="1" customFormat="1" ht="15" customHeight="1" thickBot="1" x14ac:dyDescent="0.35">
      <c r="A59" s="24" t="s">
        <v>122</v>
      </c>
      <c r="B59" s="25" t="s">
        <v>84</v>
      </c>
      <c r="C59" s="26">
        <v>456</v>
      </c>
      <c r="D59" s="7">
        <f t="shared" si="0"/>
        <v>1.0515877591495053</v>
      </c>
      <c r="E59" s="25">
        <v>1.02</v>
      </c>
      <c r="F59" s="25">
        <v>24</v>
      </c>
      <c r="G59" s="25">
        <v>818</v>
      </c>
      <c r="H59" s="27">
        <v>0.13009999999999999</v>
      </c>
      <c r="I59" s="5">
        <f t="shared" si="13"/>
        <v>-1.2085322558748068</v>
      </c>
      <c r="J59" s="5">
        <f t="shared" si="14"/>
        <v>-1.2505103447451387</v>
      </c>
      <c r="K59" s="2">
        <f t="shared" si="15"/>
        <v>0.98455689895476439</v>
      </c>
      <c r="L59" s="6">
        <f t="shared" si="16"/>
        <v>1.2562134117027827E-3</v>
      </c>
    </row>
    <row r="60" spans="1:12" s="1" customFormat="1" ht="15" customHeight="1" thickBot="1" x14ac:dyDescent="0.35">
      <c r="A60" s="24" t="s">
        <v>123</v>
      </c>
      <c r="B60" s="25" t="s">
        <v>124</v>
      </c>
      <c r="C60" s="26">
        <v>457</v>
      </c>
      <c r="D60" s="7">
        <f t="shared" si="0"/>
        <v>1.0538938726564122</v>
      </c>
      <c r="E60" s="25">
        <v>0.94</v>
      </c>
      <c r="F60" s="25">
        <v>294</v>
      </c>
      <c r="G60" s="25">
        <v>361</v>
      </c>
      <c r="H60" s="27">
        <v>0.1288</v>
      </c>
      <c r="I60" s="5">
        <f t="shared" si="13"/>
        <v>-1.2738623742942283</v>
      </c>
      <c r="J60" s="5">
        <f t="shared" si="14"/>
        <v>-1.3154210049360326</v>
      </c>
      <c r="K60" s="2">
        <f t="shared" si="15"/>
        <v>0.85120194563496199</v>
      </c>
      <c r="L60" s="6">
        <f t="shared" si="16"/>
        <v>7.885094459016237E-3</v>
      </c>
    </row>
    <row r="61" spans="1:12" s="1" customFormat="1" ht="15" customHeight="1" thickBot="1" x14ac:dyDescent="0.35">
      <c r="A61" s="24" t="s">
        <v>125</v>
      </c>
      <c r="B61" s="25" t="s">
        <v>114</v>
      </c>
      <c r="C61" s="26">
        <v>457.5</v>
      </c>
      <c r="D61" s="7">
        <f t="shared" si="0"/>
        <v>1.0550469294098657</v>
      </c>
      <c r="E61" s="25">
        <v>0.85</v>
      </c>
      <c r="F61" s="25">
        <v>62</v>
      </c>
      <c r="G61" s="25">
        <v>780</v>
      </c>
      <c r="H61" s="27">
        <v>0.12790000000000001</v>
      </c>
      <c r="I61" s="5">
        <f t="shared" si="13"/>
        <v>-1.3096148647840098</v>
      </c>
      <c r="J61" s="5">
        <f t="shared" si="14"/>
        <v>-1.3508831012676028</v>
      </c>
      <c r="K61" s="2">
        <f t="shared" si="15"/>
        <v>0.78379042836234447</v>
      </c>
      <c r="L61" s="6">
        <f t="shared" si="16"/>
        <v>4.3837073764418366E-3</v>
      </c>
    </row>
    <row r="62" spans="1:12" s="1" customFormat="1" ht="15" customHeight="1" thickBot="1" x14ac:dyDescent="0.35">
      <c r="A62" s="24" t="s">
        <v>126</v>
      </c>
      <c r="B62" s="25" t="s">
        <v>127</v>
      </c>
      <c r="C62" s="26">
        <v>458</v>
      </c>
      <c r="D62" s="7">
        <f t="shared" si="0"/>
        <v>1.0561999861633189</v>
      </c>
      <c r="E62" s="25">
        <v>0.9</v>
      </c>
      <c r="F62" s="25">
        <v>364</v>
      </c>
      <c r="G62" s="25">
        <v>672</v>
      </c>
      <c r="H62" s="27">
        <v>0.1273</v>
      </c>
      <c r="I62" s="5">
        <f t="shared" si="13"/>
        <v>-1.3425745292820221</v>
      </c>
      <c r="J62" s="5">
        <f t="shared" si="14"/>
        <v>-1.383649169660141</v>
      </c>
      <c r="K62" s="2">
        <f t="shared" si="15"/>
        <v>0.72701635477433513</v>
      </c>
      <c r="L62" s="6">
        <f t="shared" si="16"/>
        <v>2.9923341515558696E-2</v>
      </c>
    </row>
    <row r="63" spans="1:12" s="1" customFormat="1" ht="15" customHeight="1" thickBot="1" x14ac:dyDescent="0.35">
      <c r="A63" s="24" t="s">
        <v>128</v>
      </c>
      <c r="B63" s="25" t="s">
        <v>129</v>
      </c>
      <c r="C63" s="26">
        <v>459</v>
      </c>
      <c r="D63" s="7">
        <f t="shared" si="0"/>
        <v>1.0585060996702258</v>
      </c>
      <c r="E63" s="25">
        <v>0.85</v>
      </c>
      <c r="F63" s="25">
        <v>471</v>
      </c>
      <c r="G63" s="25">
        <v>410</v>
      </c>
      <c r="H63" s="27">
        <v>0.12609999999999999</v>
      </c>
      <c r="I63" s="5">
        <f t="shared" si="13"/>
        <v>-1.4093442406060628</v>
      </c>
      <c r="J63" s="5">
        <f t="shared" si="14"/>
        <v>-1.450031688773233</v>
      </c>
      <c r="K63" s="2">
        <f t="shared" si="15"/>
        <v>0.62273832618180336</v>
      </c>
      <c r="L63" s="6">
        <f t="shared" si="16"/>
        <v>5.1647868386648393E-2</v>
      </c>
    </row>
    <row r="64" spans="1:12" s="1" customFormat="1" ht="15" customHeight="1" thickBot="1" x14ac:dyDescent="0.35">
      <c r="A64" s="24" t="s">
        <v>130</v>
      </c>
      <c r="B64" s="25" t="s">
        <v>78</v>
      </c>
      <c r="C64" s="26">
        <v>460</v>
      </c>
      <c r="D64" s="7">
        <f t="shared" si="0"/>
        <v>1.0608122131771325</v>
      </c>
      <c r="E64" s="25">
        <v>0.62</v>
      </c>
      <c r="F64" s="25">
        <v>615</v>
      </c>
      <c r="G64" s="28">
        <v>2912</v>
      </c>
      <c r="H64" s="27">
        <v>0.12540000000000001</v>
      </c>
      <c r="I64" s="5">
        <f t="shared" si="13"/>
        <v>-1.4712241962938382</v>
      </c>
      <c r="J64" s="5">
        <f t="shared" si="14"/>
        <v>-1.511685782337955</v>
      </c>
      <c r="K64" s="2">
        <f t="shared" si="15"/>
        <v>0.53954791702415861</v>
      </c>
      <c r="L64" s="6">
        <f t="shared" si="16"/>
        <v>6.4725376551516677E-3</v>
      </c>
    </row>
    <row r="65" spans="1:12" s="1" customFormat="1" ht="15" customHeight="1" thickBot="1" x14ac:dyDescent="0.35">
      <c r="A65" s="24" t="s">
        <v>131</v>
      </c>
      <c r="B65" s="25" t="s">
        <v>132</v>
      </c>
      <c r="C65" s="26">
        <v>461</v>
      </c>
      <c r="D65" s="7">
        <f t="shared" si="0"/>
        <v>1.0631183266840394</v>
      </c>
      <c r="E65" s="25">
        <v>0.65</v>
      </c>
      <c r="F65" s="25">
        <v>231</v>
      </c>
      <c r="G65" s="25">
        <v>246</v>
      </c>
      <c r="H65" s="27">
        <v>0.1245</v>
      </c>
      <c r="I65" s="5">
        <f t="shared" si="13"/>
        <v>-1.5362084784824461</v>
      </c>
      <c r="J65" s="5">
        <f t="shared" si="14"/>
        <v>-1.5763796703683517</v>
      </c>
      <c r="K65" s="2">
        <f t="shared" si="15"/>
        <v>0.46201754297039344</v>
      </c>
      <c r="L65" s="6">
        <f t="shared" si="16"/>
        <v>3.5337404150887888E-2</v>
      </c>
    </row>
    <row r="66" spans="1:12" s="1" customFormat="1" ht="15" customHeight="1" thickBot="1" x14ac:dyDescent="0.35">
      <c r="A66" s="24" t="s">
        <v>133</v>
      </c>
      <c r="B66" s="25" t="s">
        <v>76</v>
      </c>
      <c r="C66" s="26">
        <v>462</v>
      </c>
      <c r="D66" s="7">
        <f t="shared" si="0"/>
        <v>1.0654244401909463</v>
      </c>
      <c r="E66" s="25">
        <v>0.43</v>
      </c>
      <c r="F66" s="25">
        <v>55</v>
      </c>
      <c r="G66" s="28">
        <v>1111</v>
      </c>
      <c r="H66" s="27">
        <v>0.1239</v>
      </c>
      <c r="I66" s="5">
        <f t="shared" si="13"/>
        <v>-1.5980433703021906</v>
      </c>
      <c r="J66" s="5">
        <f t="shared" si="14"/>
        <v>-1.6380209660826219</v>
      </c>
      <c r="K66" s="2">
        <f t="shared" si="15"/>
        <v>0.39818338803785736</v>
      </c>
      <c r="L66" s="6">
        <f t="shared" si="16"/>
        <v>1.012296796749558E-3</v>
      </c>
    </row>
    <row r="67" spans="1:12" s="1" customFormat="1" ht="15" customHeight="1" thickBot="1" x14ac:dyDescent="0.35">
      <c r="A67" s="24" t="s">
        <v>134</v>
      </c>
      <c r="B67" s="25" t="s">
        <v>84</v>
      </c>
      <c r="C67" s="26">
        <v>462.5</v>
      </c>
      <c r="D67" s="7">
        <f t="shared" si="0"/>
        <v>1.0665774969443995</v>
      </c>
      <c r="E67" s="25">
        <v>0.39</v>
      </c>
      <c r="F67" s="25">
        <v>130</v>
      </c>
      <c r="G67" s="28">
        <v>1158</v>
      </c>
      <c r="H67" s="27">
        <v>0.1237</v>
      </c>
      <c r="I67" s="5">
        <f t="shared" si="13"/>
        <v>-1.6277922420675852</v>
      </c>
      <c r="J67" s="5">
        <f t="shared" si="14"/>
        <v>-1.6677053058128584</v>
      </c>
      <c r="K67" s="2">
        <f t="shared" si="15"/>
        <v>0.37055511341844394</v>
      </c>
      <c r="L67" s="6">
        <f t="shared" si="16"/>
        <v>3.7810361416957953E-4</v>
      </c>
    </row>
    <row r="68" spans="1:12" s="1" customFormat="1" ht="15" customHeight="1" thickBot="1" x14ac:dyDescent="0.35">
      <c r="A68" s="24" t="s">
        <v>135</v>
      </c>
      <c r="B68" s="25" t="s">
        <v>65</v>
      </c>
      <c r="C68" s="26">
        <v>463</v>
      </c>
      <c r="D68" s="7">
        <f t="shared" ref="D68:D102" si="17">C68/M$2</f>
        <v>1.067730553697853</v>
      </c>
      <c r="E68" s="25">
        <v>0.41</v>
      </c>
      <c r="F68" s="25">
        <v>29</v>
      </c>
      <c r="G68" s="25">
        <v>170</v>
      </c>
      <c r="H68" s="27">
        <v>0.12330000000000001</v>
      </c>
      <c r="I68" s="5">
        <f t="shared" si="13"/>
        <v>-1.6603613565465067</v>
      </c>
      <c r="J68" s="5">
        <f t="shared" si="14"/>
        <v>-1.7001453562214639</v>
      </c>
      <c r="K68" s="2">
        <f t="shared" si="15"/>
        <v>0.34173051657967335</v>
      </c>
      <c r="L68" s="6">
        <f t="shared" si="16"/>
        <v>4.6607223664782522E-3</v>
      </c>
    </row>
    <row r="69" spans="1:12" s="1" customFormat="1" ht="15" customHeight="1" thickBot="1" x14ac:dyDescent="0.35">
      <c r="A69" s="24" t="s">
        <v>136</v>
      </c>
      <c r="B69" s="25" t="s">
        <v>74</v>
      </c>
      <c r="C69" s="26">
        <v>464</v>
      </c>
      <c r="D69" s="7">
        <f t="shared" si="17"/>
        <v>1.0700366672047599</v>
      </c>
      <c r="E69" s="25">
        <v>0.31</v>
      </c>
      <c r="F69" s="25">
        <v>47</v>
      </c>
      <c r="G69" s="25">
        <v>170</v>
      </c>
      <c r="H69" s="27">
        <v>0.1229</v>
      </c>
      <c r="I69" s="5">
        <f t="shared" si="13"/>
        <v>-1.7203013729609824</v>
      </c>
      <c r="J69" s="5">
        <f t="shared" si="14"/>
        <v>-1.7599563085656234</v>
      </c>
      <c r="K69" s="2">
        <f t="shared" si="15"/>
        <v>0.29455161358061943</v>
      </c>
      <c r="L69" s="6">
        <f t="shared" si="16"/>
        <v>2.3865264296250193E-4</v>
      </c>
    </row>
    <row r="70" spans="1:12" s="1" customFormat="1" ht="15" customHeight="1" thickBot="1" x14ac:dyDescent="0.35">
      <c r="A70" s="24" t="s">
        <v>137</v>
      </c>
      <c r="B70" s="25" t="s">
        <v>76</v>
      </c>
      <c r="C70" s="26">
        <v>465</v>
      </c>
      <c r="D70" s="7">
        <f t="shared" si="17"/>
        <v>1.0723427807116666</v>
      </c>
      <c r="E70" s="25">
        <v>0.27</v>
      </c>
      <c r="F70" s="25">
        <v>189</v>
      </c>
      <c r="G70" s="25">
        <v>879</v>
      </c>
      <c r="H70" s="27">
        <v>0.1221</v>
      </c>
      <c r="I70" s="5">
        <f t="shared" si="13"/>
        <v>-1.7864771486996249</v>
      </c>
      <c r="J70" s="5">
        <f t="shared" si="14"/>
        <v>-1.8258739561636335</v>
      </c>
      <c r="K70" s="2">
        <f t="shared" si="15"/>
        <v>0.24843723695289022</v>
      </c>
      <c r="L70" s="6">
        <f t="shared" si="16"/>
        <v>4.6495275022580393E-4</v>
      </c>
    </row>
    <row r="71" spans="1:12" s="1" customFormat="1" ht="15" customHeight="1" thickBot="1" x14ac:dyDescent="0.35">
      <c r="A71" s="24" t="s">
        <v>138</v>
      </c>
      <c r="B71" s="25" t="s">
        <v>84</v>
      </c>
      <c r="C71" s="26">
        <v>466</v>
      </c>
      <c r="D71" s="7">
        <f t="shared" si="17"/>
        <v>1.0746488942185735</v>
      </c>
      <c r="E71" s="25">
        <v>0.22</v>
      </c>
      <c r="F71" s="25">
        <v>46</v>
      </c>
      <c r="G71" s="25">
        <v>423</v>
      </c>
      <c r="H71" s="27">
        <v>0.1216</v>
      </c>
      <c r="I71" s="5">
        <f t="shared" si="13"/>
        <v>-1.8487367181960721</v>
      </c>
      <c r="J71" s="5">
        <f t="shared" si="14"/>
        <v>-1.8879721955721855</v>
      </c>
      <c r="K71" s="2">
        <f t="shared" si="15"/>
        <v>0.21140884590380971</v>
      </c>
      <c r="L71" s="6">
        <f t="shared" si="16"/>
        <v>7.3807928704487289E-5</v>
      </c>
    </row>
    <row r="72" spans="1:12" s="1" customFormat="1" ht="15" customHeight="1" thickBot="1" x14ac:dyDescent="0.35">
      <c r="A72" s="24" t="s">
        <v>139</v>
      </c>
      <c r="B72" s="25" t="s">
        <v>124</v>
      </c>
      <c r="C72" s="26">
        <v>467</v>
      </c>
      <c r="D72" s="7">
        <f t="shared" si="17"/>
        <v>1.0769550077254804</v>
      </c>
      <c r="E72" s="25">
        <v>0.2</v>
      </c>
      <c r="F72" s="25">
        <v>9</v>
      </c>
      <c r="G72" s="25">
        <v>35</v>
      </c>
      <c r="H72" s="27">
        <v>0.1216</v>
      </c>
      <c r="I72" s="5">
        <f t="shared" si="13"/>
        <v>-1.9033715458216558</v>
      </c>
      <c r="J72" s="5">
        <f t="shared" si="14"/>
        <v>-1.9426070231977692</v>
      </c>
      <c r="K72" s="2">
        <f t="shared" si="15"/>
        <v>0.18366765179813349</v>
      </c>
      <c r="L72" s="6">
        <f t="shared" si="16"/>
        <v>2.6674559778701253E-4</v>
      </c>
    </row>
    <row r="73" spans="1:12" s="1" customFormat="1" ht="15" customHeight="1" thickBot="1" x14ac:dyDescent="0.35">
      <c r="A73" s="24" t="s">
        <v>140</v>
      </c>
      <c r="B73" s="25" t="s">
        <v>78</v>
      </c>
      <c r="C73" s="26">
        <v>467.5</v>
      </c>
      <c r="D73" s="7">
        <f t="shared" si="17"/>
        <v>1.0781080644789336</v>
      </c>
      <c r="E73" s="25">
        <v>0.2</v>
      </c>
      <c r="F73" s="25">
        <v>8</v>
      </c>
      <c r="G73" s="25">
        <v>489</v>
      </c>
      <c r="H73" s="27">
        <v>0.12180000000000001</v>
      </c>
      <c r="I73" s="5">
        <f t="shared" si="13"/>
        <v>-1.9274104355594865</v>
      </c>
      <c r="J73" s="5">
        <f t="shared" si="14"/>
        <v>-1.966710444970758</v>
      </c>
      <c r="K73" s="2">
        <f t="shared" si="15"/>
        <v>0.17279188096400766</v>
      </c>
      <c r="L73" s="6">
        <f t="shared" si="16"/>
        <v>7.4028174147672938E-4</v>
      </c>
    </row>
    <row r="74" spans="1:12" s="1" customFormat="1" ht="15" customHeight="1" thickBot="1" x14ac:dyDescent="0.35">
      <c r="A74" s="24" t="s">
        <v>141</v>
      </c>
      <c r="B74" s="25" t="s">
        <v>118</v>
      </c>
      <c r="C74" s="26">
        <v>468</v>
      </c>
      <c r="D74" s="7">
        <f t="shared" si="17"/>
        <v>1.079261121232387</v>
      </c>
      <c r="E74" s="25">
        <v>0.21</v>
      </c>
      <c r="F74" s="25">
        <v>30</v>
      </c>
      <c r="G74" s="28">
        <v>1264</v>
      </c>
      <c r="H74" s="27">
        <v>0.12230000000000001</v>
      </c>
      <c r="I74" s="5">
        <f t="shared" si="13"/>
        <v>-1.9464580557313951</v>
      </c>
      <c r="J74" s="5">
        <f t="shared" si="14"/>
        <v>-1.9859193952305618</v>
      </c>
      <c r="K74" s="2">
        <f t="shared" si="15"/>
        <v>0.16503276733641137</v>
      </c>
      <c r="L74" s="6">
        <f t="shared" si="16"/>
        <v>2.0220520134213117E-3</v>
      </c>
    </row>
    <row r="75" spans="1:12" s="1" customFormat="1" ht="15" customHeight="1" thickBot="1" x14ac:dyDescent="0.35">
      <c r="A75" s="24" t="s">
        <v>142</v>
      </c>
      <c r="B75" s="25" t="s">
        <v>143</v>
      </c>
      <c r="C75" s="26">
        <v>469</v>
      </c>
      <c r="D75" s="7">
        <f t="shared" si="17"/>
        <v>1.0815672347392939</v>
      </c>
      <c r="E75" s="25">
        <v>0.18</v>
      </c>
      <c r="F75" s="25">
        <v>32</v>
      </c>
      <c r="G75" s="25">
        <v>24</v>
      </c>
      <c r="H75" s="27">
        <v>0.1216</v>
      </c>
      <c r="I75" s="5">
        <f t="shared" si="13"/>
        <v>-2.0122911018758858</v>
      </c>
      <c r="J75" s="5">
        <f t="shared" si="14"/>
        <v>-2.0515265792519992</v>
      </c>
      <c r="K75" s="2">
        <f t="shared" si="15"/>
        <v>0.13774861490069412</v>
      </c>
      <c r="L75" s="6">
        <f t="shared" si="16"/>
        <v>1.7851795428098461E-3</v>
      </c>
    </row>
    <row r="76" spans="1:12" s="1" customFormat="1" ht="15" customHeight="1" thickBot="1" x14ac:dyDescent="0.35">
      <c r="A76" s="24" t="s">
        <v>144</v>
      </c>
      <c r="B76" s="25" t="s">
        <v>84</v>
      </c>
      <c r="C76" s="26">
        <v>470</v>
      </c>
      <c r="D76" s="7">
        <f t="shared" si="17"/>
        <v>1.0838733482462006</v>
      </c>
      <c r="E76" s="25">
        <v>0.13</v>
      </c>
      <c r="F76" s="25">
        <v>23</v>
      </c>
      <c r="G76" s="28">
        <v>1357</v>
      </c>
      <c r="H76" s="27">
        <v>0.1216</v>
      </c>
      <c r="I76" s="5">
        <f t="shared" si="13"/>
        <v>-2.0665768249067873</v>
      </c>
      <c r="J76" s="5">
        <f t="shared" si="14"/>
        <v>-2.1058123022829007</v>
      </c>
      <c r="K76" s="2">
        <f t="shared" si="15"/>
        <v>0.11891423216638053</v>
      </c>
      <c r="L76" s="6">
        <f t="shared" si="16"/>
        <v>1.2289424846091224E-4</v>
      </c>
    </row>
    <row r="77" spans="1:12" s="1" customFormat="1" ht="15" customHeight="1" thickBot="1" x14ac:dyDescent="0.35">
      <c r="A77" s="24" t="s">
        <v>145</v>
      </c>
      <c r="B77" s="25" t="s">
        <v>116</v>
      </c>
      <c r="C77" s="26">
        <v>471</v>
      </c>
      <c r="D77" s="7">
        <f t="shared" si="17"/>
        <v>1.0861794617531075</v>
      </c>
      <c r="E77" s="25">
        <v>0.14000000000000001</v>
      </c>
      <c r="F77" s="25">
        <v>48</v>
      </c>
      <c r="G77" s="25">
        <v>257</v>
      </c>
      <c r="H77" s="27">
        <v>0.12280000000000001</v>
      </c>
      <c r="I77" s="5">
        <f t="shared" si="13"/>
        <v>-2.0996379549593098</v>
      </c>
      <c r="J77" s="5">
        <f t="shared" si="14"/>
        <v>-2.1392606245463717</v>
      </c>
      <c r="K77" s="2">
        <f t="shared" si="15"/>
        <v>0.10965725472536381</v>
      </c>
      <c r="L77" s="6">
        <f t="shared" si="16"/>
        <v>9.2068219080145789E-4</v>
      </c>
    </row>
    <row r="78" spans="1:12" s="1" customFormat="1" ht="15" customHeight="1" thickBot="1" x14ac:dyDescent="0.35">
      <c r="A78" s="24" t="s">
        <v>146</v>
      </c>
      <c r="B78" s="25" t="s">
        <v>147</v>
      </c>
      <c r="C78" s="26">
        <v>472</v>
      </c>
      <c r="D78" s="7">
        <f t="shared" si="17"/>
        <v>1.0884855752600142</v>
      </c>
      <c r="E78" s="25">
        <v>0.12</v>
      </c>
      <c r="F78" s="25">
        <v>10</v>
      </c>
      <c r="G78" s="25">
        <v>257</v>
      </c>
      <c r="H78" s="27">
        <v>0.1221</v>
      </c>
      <c r="I78" s="5">
        <f t="shared" si="13"/>
        <v>-2.1657357983211489</v>
      </c>
      <c r="J78" s="5">
        <f t="shared" si="14"/>
        <v>-2.2051326057851575</v>
      </c>
      <c r="K78" s="2">
        <f t="shared" si="15"/>
        <v>9.070317096294378E-2</v>
      </c>
      <c r="L78" s="6">
        <f t="shared" si="16"/>
        <v>8.583041916265002E-4</v>
      </c>
    </row>
    <row r="79" spans="1:12" s="1" customFormat="1" ht="15" customHeight="1" thickBot="1" x14ac:dyDescent="0.35">
      <c r="A79" s="24" t="s">
        <v>148</v>
      </c>
      <c r="B79" s="25" t="s">
        <v>149</v>
      </c>
      <c r="C79" s="26">
        <v>472.5</v>
      </c>
      <c r="D79" s="7">
        <f t="shared" si="17"/>
        <v>1.0896386320134677</v>
      </c>
      <c r="E79" s="25">
        <v>0.14000000000000001</v>
      </c>
      <c r="F79" s="25">
        <v>1</v>
      </c>
      <c r="G79" s="25">
        <v>228</v>
      </c>
      <c r="H79" s="27">
        <v>0.1235</v>
      </c>
      <c r="I79" s="5">
        <f t="shared" si="13"/>
        <v>-2.1673054284743127</v>
      </c>
      <c r="J79" s="5">
        <f t="shared" si="14"/>
        <v>-2.2071539601844279</v>
      </c>
      <c r="K79" s="2">
        <f t="shared" si="15"/>
        <v>9.1325602917370574E-2</v>
      </c>
      <c r="L79" s="6">
        <f t="shared" si="16"/>
        <v>2.3691969313574851E-3</v>
      </c>
    </row>
    <row r="80" spans="1:12" s="1" customFormat="1" ht="15" customHeight="1" thickBot="1" x14ac:dyDescent="0.35">
      <c r="A80" s="24" t="s">
        <v>150</v>
      </c>
      <c r="B80" s="25" t="s">
        <v>151</v>
      </c>
      <c r="C80" s="26">
        <v>473</v>
      </c>
      <c r="D80" s="7">
        <f t="shared" si="17"/>
        <v>1.0907916887669211</v>
      </c>
      <c r="E80" s="25">
        <v>0.1</v>
      </c>
      <c r="F80" s="25">
        <v>15</v>
      </c>
      <c r="G80" s="25">
        <v>13</v>
      </c>
      <c r="H80" s="27">
        <v>0.1231</v>
      </c>
      <c r="I80" s="5">
        <f t="shared" si="13"/>
        <v>-2.2011049122805608</v>
      </c>
      <c r="J80" s="5">
        <f t="shared" si="14"/>
        <v>-2.24082437992036</v>
      </c>
      <c r="K80" s="2">
        <f t="shared" si="15"/>
        <v>8.2733569429447762E-2</v>
      </c>
      <c r="L80" s="6">
        <f t="shared" si="16"/>
        <v>2.9812962464770108E-4</v>
      </c>
    </row>
    <row r="81" spans="1:12" s="1" customFormat="1" ht="15" customHeight="1" thickBot="1" x14ac:dyDescent="0.35">
      <c r="A81" s="24" t="s">
        <v>152</v>
      </c>
      <c r="B81" s="25" t="s">
        <v>153</v>
      </c>
      <c r="C81" s="26">
        <v>474</v>
      </c>
      <c r="D81" s="7">
        <f t="shared" si="17"/>
        <v>1.093097802273828</v>
      </c>
      <c r="E81" s="25">
        <v>0.13</v>
      </c>
      <c r="F81" s="25">
        <v>7</v>
      </c>
      <c r="G81" s="25">
        <v>28</v>
      </c>
      <c r="H81" s="27">
        <v>0.1235</v>
      </c>
      <c r="I81" s="5">
        <f t="shared" si="13"/>
        <v>-2.2468459943435066</v>
      </c>
      <c r="J81" s="5">
        <f t="shared" si="14"/>
        <v>-2.2866945260536218</v>
      </c>
      <c r="K81" s="2">
        <f t="shared" si="15"/>
        <v>7.2815329560438791E-2</v>
      </c>
      <c r="L81" s="6">
        <f t="shared" si="16"/>
        <v>3.2700865332812262E-3</v>
      </c>
    </row>
    <row r="82" spans="1:12" s="1" customFormat="1" ht="15" customHeight="1" thickBot="1" x14ac:dyDescent="0.35">
      <c r="A82" s="24" t="s">
        <v>154</v>
      </c>
      <c r="B82" s="25" t="s">
        <v>118</v>
      </c>
      <c r="C82" s="26">
        <v>475</v>
      </c>
      <c r="D82" s="7">
        <f t="shared" si="17"/>
        <v>1.0954039157807347</v>
      </c>
      <c r="E82" s="25">
        <v>0.08</v>
      </c>
      <c r="F82" s="25">
        <v>462</v>
      </c>
      <c r="G82" s="25">
        <v>527</v>
      </c>
      <c r="H82" s="27">
        <v>0.1235</v>
      </c>
      <c r="I82" s="5">
        <f t="shared" si="13"/>
        <v>-2.2997333216582461</v>
      </c>
      <c r="J82" s="5">
        <f t="shared" si="14"/>
        <v>-2.3395818533683612</v>
      </c>
      <c r="K82" s="2">
        <f t="shared" si="15"/>
        <v>6.2451086034001513E-2</v>
      </c>
      <c r="L82" s="6">
        <f t="shared" si="16"/>
        <v>3.0796438138601682E-4</v>
      </c>
    </row>
    <row r="83" spans="1:12" s="1" customFormat="1" ht="15" customHeight="1" thickBot="1" x14ac:dyDescent="0.35">
      <c r="A83" s="24" t="s">
        <v>155</v>
      </c>
      <c r="B83" s="25" t="s">
        <v>76</v>
      </c>
      <c r="C83" s="26">
        <v>476</v>
      </c>
      <c r="D83" s="7">
        <f t="shared" si="17"/>
        <v>1.0977100292876416</v>
      </c>
      <c r="E83" s="25">
        <v>0.06</v>
      </c>
      <c r="F83" s="25">
        <v>14</v>
      </c>
      <c r="G83" s="25">
        <v>30</v>
      </c>
      <c r="H83" s="27">
        <v>0.1235</v>
      </c>
      <c r="I83" s="5">
        <f t="shared" si="13"/>
        <v>-2.352509424227792</v>
      </c>
      <c r="J83" s="5">
        <f t="shared" si="14"/>
        <v>-2.3923579559379071</v>
      </c>
      <c r="K83" s="2">
        <f t="shared" si="15"/>
        <v>5.34535631733557E-2</v>
      </c>
      <c r="L83" s="6">
        <f t="shared" si="16"/>
        <v>4.2855835125244656E-5</v>
      </c>
    </row>
    <row r="84" spans="1:12" s="1" customFormat="1" ht="15" customHeight="1" thickBot="1" x14ac:dyDescent="0.35">
      <c r="A84" s="24" t="s">
        <v>156</v>
      </c>
      <c r="B84" s="25" t="s">
        <v>157</v>
      </c>
      <c r="C84" s="26">
        <v>477</v>
      </c>
      <c r="D84" s="7">
        <f t="shared" si="17"/>
        <v>1.1000161427945483</v>
      </c>
      <c r="E84" s="25">
        <v>7.0000000000000007E-2</v>
      </c>
      <c r="F84" s="25">
        <v>3</v>
      </c>
      <c r="G84" s="25">
        <v>19</v>
      </c>
      <c r="H84" s="27">
        <v>0.126</v>
      </c>
      <c r="I84" s="5">
        <f t="shared" si="13"/>
        <v>-2.3566543993331601</v>
      </c>
      <c r="J84" s="5">
        <f t="shared" si="14"/>
        <v>-2.3973095814827512</v>
      </c>
      <c r="K84" s="2">
        <f t="shared" si="15"/>
        <v>5.3854645041389038E-2</v>
      </c>
      <c r="L84" s="6">
        <f t="shared" si="16"/>
        <v>2.6067248673954379E-4</v>
      </c>
    </row>
    <row r="85" spans="1:12" s="1" customFormat="1" ht="15" customHeight="1" thickBot="1" x14ac:dyDescent="0.35">
      <c r="A85" s="24" t="s">
        <v>158</v>
      </c>
      <c r="B85" s="25" t="s">
        <v>159</v>
      </c>
      <c r="C85" s="26">
        <v>477.5</v>
      </c>
      <c r="D85" s="7">
        <f t="shared" si="17"/>
        <v>1.1011691995480017</v>
      </c>
      <c r="E85" s="25">
        <v>0.05</v>
      </c>
      <c r="F85" s="25">
        <v>11</v>
      </c>
      <c r="G85" s="25">
        <v>319</v>
      </c>
      <c r="H85" s="27">
        <v>0.1245</v>
      </c>
      <c r="I85" s="5">
        <f t="shared" si="13"/>
        <v>-2.4116148399370787</v>
      </c>
      <c r="J85" s="5">
        <f t="shared" si="14"/>
        <v>-2.4517860318229845</v>
      </c>
      <c r="K85" s="2">
        <f t="shared" si="15"/>
        <v>4.5139331608257116E-2</v>
      </c>
      <c r="L85" s="6">
        <f t="shared" si="16"/>
        <v>2.3626097214488379E-5</v>
      </c>
    </row>
    <row r="86" spans="1:12" s="1" customFormat="1" ht="15" customHeight="1" thickBot="1" x14ac:dyDescent="0.35">
      <c r="A86" s="24" t="s">
        <v>160</v>
      </c>
      <c r="B86" s="25" t="s">
        <v>161</v>
      </c>
      <c r="C86" s="26">
        <v>478</v>
      </c>
      <c r="D86" s="7">
        <f t="shared" si="17"/>
        <v>1.1023222563014552</v>
      </c>
      <c r="E86" s="25">
        <v>0.08</v>
      </c>
      <c r="F86" s="25">
        <v>1</v>
      </c>
      <c r="G86" s="25">
        <v>21</v>
      </c>
      <c r="H86" s="27">
        <v>0.126</v>
      </c>
      <c r="I86" s="5">
        <f t="shared" si="13"/>
        <v>-2.4081666910604222</v>
      </c>
      <c r="J86" s="5">
        <f t="shared" si="14"/>
        <v>-2.4488218732100133</v>
      </c>
      <c r="K86" s="2">
        <f t="shared" si="15"/>
        <v>4.6154409802104279E-2</v>
      </c>
      <c r="L86" s="6">
        <f t="shared" si="16"/>
        <v>1.1455239758438949E-3</v>
      </c>
    </row>
    <row r="87" spans="1:12" s="1" customFormat="1" ht="15" customHeight="1" thickBot="1" x14ac:dyDescent="0.35">
      <c r="A87" s="24" t="s">
        <v>162</v>
      </c>
      <c r="B87" s="25" t="s">
        <v>91</v>
      </c>
      <c r="C87" s="26">
        <v>479</v>
      </c>
      <c r="D87" s="7">
        <f t="shared" si="17"/>
        <v>1.1046283698083619</v>
      </c>
      <c r="E87" s="25">
        <v>0.04</v>
      </c>
      <c r="F87" s="25">
        <v>797</v>
      </c>
      <c r="G87" s="25">
        <v>2</v>
      </c>
      <c r="H87" s="27">
        <v>0.12790000000000001</v>
      </c>
      <c r="I87" s="5">
        <f t="shared" si="13"/>
        <v>-2.4224250211762555</v>
      </c>
      <c r="J87" s="5">
        <f t="shared" si="14"/>
        <v>-2.4636932576598483</v>
      </c>
      <c r="K87" s="2">
        <f t="shared" si="15"/>
        <v>4.4865444819291778E-2</v>
      </c>
      <c r="L87" s="6">
        <f t="shared" si="16"/>
        <v>2.3672553289573191E-5</v>
      </c>
    </row>
    <row r="88" spans="1:12" s="1" customFormat="1" ht="15" customHeight="1" thickBot="1" x14ac:dyDescent="0.35">
      <c r="A88" s="24" t="s">
        <v>163</v>
      </c>
      <c r="B88" s="25" t="s">
        <v>164</v>
      </c>
      <c r="C88" s="26">
        <v>480</v>
      </c>
      <c r="D88" s="7">
        <f t="shared" si="17"/>
        <v>1.1069344833152688</v>
      </c>
      <c r="E88" s="25">
        <v>0.04</v>
      </c>
      <c r="F88" s="28">
        <v>1368</v>
      </c>
      <c r="G88" s="25">
        <v>410</v>
      </c>
      <c r="H88" s="27">
        <v>0.127</v>
      </c>
      <c r="I88" s="5">
        <f t="shared" si="13"/>
        <v>-2.4907767521933883</v>
      </c>
      <c r="J88" s="5">
        <f t="shared" si="14"/>
        <v>-2.5317545945187701</v>
      </c>
      <c r="K88" s="2">
        <f t="shared" si="15"/>
        <v>3.6148892604965344E-2</v>
      </c>
      <c r="L88" s="6">
        <f t="shared" si="16"/>
        <v>1.4831028168090623E-5</v>
      </c>
    </row>
    <row r="89" spans="1:12" s="1" customFormat="1" ht="15" customHeight="1" thickBot="1" x14ac:dyDescent="0.35">
      <c r="A89" s="24" t="s">
        <v>165</v>
      </c>
      <c r="B89" s="25" t="s">
        <v>114</v>
      </c>
      <c r="C89" s="26">
        <v>482</v>
      </c>
      <c r="D89" s="7">
        <f t="shared" si="17"/>
        <v>1.1115467103290824</v>
      </c>
      <c r="E89" s="25">
        <v>0.03</v>
      </c>
      <c r="F89" s="25">
        <v>718</v>
      </c>
      <c r="G89" s="25">
        <v>115</v>
      </c>
      <c r="H89" s="27">
        <v>0.1318</v>
      </c>
      <c r="I89" s="5">
        <f t="shared" si="13"/>
        <v>-2.496319356308665</v>
      </c>
      <c r="J89" s="5">
        <f t="shared" si="14"/>
        <v>-2.5388459674778403</v>
      </c>
      <c r="K89" s="2">
        <f t="shared" si="15"/>
        <v>3.6861207361226445E-2</v>
      </c>
      <c r="L89" s="6">
        <f t="shared" si="16"/>
        <v>4.7076166453747969E-5</v>
      </c>
    </row>
    <row r="90" spans="1:12" s="1" customFormat="1" ht="15" customHeight="1" thickBot="1" x14ac:dyDescent="0.35">
      <c r="A90" s="24" t="s">
        <v>166</v>
      </c>
      <c r="B90" s="25" t="s">
        <v>164</v>
      </c>
      <c r="C90" s="26">
        <v>482.5</v>
      </c>
      <c r="D90" s="7">
        <f t="shared" si="17"/>
        <v>1.1126997670825358</v>
      </c>
      <c r="E90" s="25">
        <v>0.03</v>
      </c>
      <c r="F90" s="25">
        <v>275</v>
      </c>
      <c r="G90" s="25">
        <v>292</v>
      </c>
      <c r="H90" s="27">
        <v>0.12889999999999999</v>
      </c>
      <c r="I90" s="5">
        <f t="shared" si="13"/>
        <v>-2.5783566344529207</v>
      </c>
      <c r="J90" s="5">
        <f t="shared" si="14"/>
        <v>-2.6199475311123042</v>
      </c>
      <c r="K90" s="2">
        <f t="shared" si="15"/>
        <v>2.7899911685518308E-2</v>
      </c>
      <c r="L90" s="6">
        <f t="shared" si="16"/>
        <v>4.4103709286225486E-6</v>
      </c>
    </row>
    <row r="91" spans="1:12" s="1" customFormat="1" ht="15" customHeight="1" thickBot="1" x14ac:dyDescent="0.35">
      <c r="A91" s="24" t="s">
        <v>167</v>
      </c>
      <c r="B91" s="25" t="s">
        <v>168</v>
      </c>
      <c r="C91" s="26">
        <v>483</v>
      </c>
      <c r="D91" s="7">
        <f t="shared" si="17"/>
        <v>1.1138528238359893</v>
      </c>
      <c r="E91" s="25">
        <v>0.05</v>
      </c>
      <c r="F91" s="25">
        <v>12</v>
      </c>
      <c r="G91" s="28">
        <v>1109</v>
      </c>
      <c r="H91" s="27">
        <v>0.12989999999999999</v>
      </c>
      <c r="I91" s="5">
        <f t="shared" si="13"/>
        <v>-2.5828976016759029</v>
      </c>
      <c r="J91" s="5">
        <f t="shared" si="14"/>
        <v>-2.6248111585110765</v>
      </c>
      <c r="K91" s="2">
        <f t="shared" si="15"/>
        <v>2.7712613953444265E-2</v>
      </c>
      <c r="L91" s="6">
        <f t="shared" si="16"/>
        <v>4.9672757678820745E-4</v>
      </c>
    </row>
    <row r="92" spans="1:12" s="1" customFormat="1" ht="15" customHeight="1" thickBot="1" x14ac:dyDescent="0.35">
      <c r="A92" s="24" t="s">
        <v>169</v>
      </c>
      <c r="B92" s="25" t="s">
        <v>170</v>
      </c>
      <c r="C92" s="26">
        <v>484</v>
      </c>
      <c r="D92" s="7">
        <f t="shared" si="17"/>
        <v>1.116158937342896</v>
      </c>
      <c r="E92" s="25">
        <v>0.02</v>
      </c>
      <c r="F92" s="25">
        <v>4</v>
      </c>
      <c r="G92" s="28">
        <v>2021</v>
      </c>
      <c r="H92" s="27">
        <v>0.1318</v>
      </c>
      <c r="I92" s="5">
        <f t="shared" si="13"/>
        <v>-2.5936888045715154</v>
      </c>
      <c r="J92" s="5">
        <f t="shared" si="14"/>
        <v>-2.6362154157406907</v>
      </c>
      <c r="K92" s="2">
        <f t="shared" si="15"/>
        <v>2.7167203398744899E-2</v>
      </c>
      <c r="L92" s="6">
        <f t="shared" si="16"/>
        <v>5.1368804558980426E-5</v>
      </c>
    </row>
    <row r="93" spans="1:12" s="1" customFormat="1" ht="15" customHeight="1" thickBot="1" x14ac:dyDescent="0.35">
      <c r="A93" s="24" t="s">
        <v>171</v>
      </c>
      <c r="B93" s="25" t="s">
        <v>172</v>
      </c>
      <c r="C93" s="26">
        <v>485</v>
      </c>
      <c r="D93" s="7">
        <f t="shared" si="17"/>
        <v>1.1184650508498029</v>
      </c>
      <c r="E93" s="25">
        <v>0.04</v>
      </c>
      <c r="F93" s="25">
        <v>11</v>
      </c>
      <c r="G93" s="25">
        <v>601</v>
      </c>
      <c r="H93" s="27">
        <v>0.1338</v>
      </c>
      <c r="I93" s="5">
        <f t="shared" si="13"/>
        <v>-2.6020871441864699</v>
      </c>
      <c r="J93" s="5">
        <f t="shared" si="14"/>
        <v>-2.6452590757072261</v>
      </c>
      <c r="K93" s="2">
        <f t="shared" si="15"/>
        <v>2.6847784512797901E-2</v>
      </c>
      <c r="L93" s="6">
        <f t="shared" si="16"/>
        <v>1.7298077222179878E-4</v>
      </c>
    </row>
    <row r="94" spans="1:12" s="1" customFormat="1" ht="15" customHeight="1" thickBot="1" x14ac:dyDescent="0.35">
      <c r="A94" s="24" t="s">
        <v>173</v>
      </c>
      <c r="B94" s="25" t="s">
        <v>174</v>
      </c>
      <c r="C94" s="26">
        <v>486</v>
      </c>
      <c r="D94" s="7">
        <f t="shared" si="17"/>
        <v>1.1207711643567098</v>
      </c>
      <c r="E94" s="25">
        <v>0.04</v>
      </c>
      <c r="F94" s="25" t="s">
        <v>11</v>
      </c>
      <c r="G94" s="28">
        <v>2000</v>
      </c>
      <c r="H94" s="27">
        <v>0.1358</v>
      </c>
      <c r="I94" s="5">
        <f t="shared" si="13"/>
        <v>-2.6101315835799257</v>
      </c>
      <c r="J94" s="5">
        <f t="shared" si="14"/>
        <v>-2.6539488354522627</v>
      </c>
      <c r="K94" s="2">
        <f t="shared" si="15"/>
        <v>2.6554563634283435E-2</v>
      </c>
      <c r="L94" s="6">
        <f t="shared" si="16"/>
        <v>1.807797590645335E-4</v>
      </c>
    </row>
    <row r="95" spans="1:12" s="1" customFormat="1" ht="15" customHeight="1" thickBot="1" x14ac:dyDescent="0.35">
      <c r="A95" s="24" t="s">
        <v>175</v>
      </c>
      <c r="B95" s="25" t="s">
        <v>174</v>
      </c>
      <c r="C95" s="26">
        <v>487</v>
      </c>
      <c r="D95" s="7">
        <f t="shared" si="17"/>
        <v>1.1230772778636164</v>
      </c>
      <c r="E95" s="25">
        <v>0.04</v>
      </c>
      <c r="F95" s="25" t="s">
        <v>11</v>
      </c>
      <c r="G95" s="25">
        <v>2</v>
      </c>
      <c r="H95" s="27">
        <v>0.13869999999999999</v>
      </c>
      <c r="I95" s="5">
        <f t="shared" si="13"/>
        <v>-2.6005617814656312</v>
      </c>
      <c r="J95" s="5">
        <f t="shared" si="14"/>
        <v>-2.6453147478477606</v>
      </c>
      <c r="K95" s="2">
        <f t="shared" si="15"/>
        <v>2.7953658269238346E-2</v>
      </c>
      <c r="L95" s="6">
        <f t="shared" si="16"/>
        <v>1.451143490942897E-4</v>
      </c>
    </row>
    <row r="96" spans="1:12" s="1" customFormat="1" ht="15" customHeight="1" thickBot="1" x14ac:dyDescent="0.35">
      <c r="A96" s="24" t="s">
        <v>176</v>
      </c>
      <c r="B96" s="25" t="s">
        <v>174</v>
      </c>
      <c r="C96" s="26">
        <v>488</v>
      </c>
      <c r="D96" s="7">
        <f t="shared" si="17"/>
        <v>1.1253833913705233</v>
      </c>
      <c r="E96" s="25">
        <v>0.04</v>
      </c>
      <c r="F96" s="25" t="s">
        <v>11</v>
      </c>
      <c r="G96" s="25">
        <v>25</v>
      </c>
      <c r="H96" s="27">
        <v>0.1406</v>
      </c>
      <c r="I96" s="5">
        <f t="shared" si="13"/>
        <v>-2.6100264242754765</v>
      </c>
      <c r="J96" s="5">
        <f t="shared" si="14"/>
        <v>-2.6553924449916075</v>
      </c>
      <c r="K96" s="2">
        <f t="shared" si="15"/>
        <v>2.7490120229084036E-2</v>
      </c>
      <c r="L96" s="6">
        <f t="shared" si="16"/>
        <v>1.5649709188277246E-4</v>
      </c>
    </row>
    <row r="97" spans="1:12" s="1" customFormat="1" ht="15" customHeight="1" thickBot="1" x14ac:dyDescent="0.35">
      <c r="A97" s="24" t="s">
        <v>177</v>
      </c>
      <c r="B97" s="25" t="s">
        <v>178</v>
      </c>
      <c r="C97" s="26">
        <v>490</v>
      </c>
      <c r="D97" s="7">
        <f t="shared" si="17"/>
        <v>1.1299956183843369</v>
      </c>
      <c r="E97" s="25">
        <v>0.02</v>
      </c>
      <c r="F97" s="25">
        <v>208</v>
      </c>
      <c r="G97" s="25">
        <v>315</v>
      </c>
      <c r="H97" s="27">
        <v>0.13869999999999999</v>
      </c>
      <c r="I97" s="5">
        <f t="shared" ref="I97:I102" si="18">(LN($M$2/C97)+($O$2-$P$2+0.5*H97^2)*$N$2)/(H97*SQRT($N$2))</f>
        <v>-2.7377877246499205</v>
      </c>
      <c r="J97" s="5">
        <f t="shared" ref="J97:J102" si="19">I97-H97*SQRT($N$2)</f>
        <v>-2.7825406910320498</v>
      </c>
      <c r="K97" s="2">
        <f t="shared" ref="K97:K102" si="20">-C97*$M$5*_xlfn.NORM.S.DIST(J97,TRUE)+$N$5*_xlfn.NORM.S.DIST(I97,TRUE)</f>
        <v>1.7918421852675115E-2</v>
      </c>
      <c r="L97" s="6">
        <f t="shared" ref="L97:L102" si="21">(E97-K97)^2</f>
        <v>4.3329675834205024E-6</v>
      </c>
    </row>
    <row r="98" spans="1:12" s="1" customFormat="1" ht="15" customHeight="1" thickBot="1" x14ac:dyDescent="0.35">
      <c r="A98" s="24" t="s">
        <v>179</v>
      </c>
      <c r="B98" s="25" t="s">
        <v>180</v>
      </c>
      <c r="C98" s="26">
        <v>495</v>
      </c>
      <c r="D98" s="7">
        <f t="shared" si="17"/>
        <v>1.141526185918871</v>
      </c>
      <c r="E98" s="25">
        <v>0.02</v>
      </c>
      <c r="F98" s="25">
        <v>933</v>
      </c>
      <c r="G98" s="28">
        <v>1071</v>
      </c>
      <c r="H98" s="27">
        <v>0.1484</v>
      </c>
      <c r="I98" s="5">
        <f t="shared" si="18"/>
        <v>-2.7678333435898597</v>
      </c>
      <c r="J98" s="5">
        <f t="shared" si="19"/>
        <v>-2.8157161136771558</v>
      </c>
      <c r="K98" s="2">
        <f t="shared" si="20"/>
        <v>1.733989096146793E-2</v>
      </c>
      <c r="L98" s="6">
        <f t="shared" si="21"/>
        <v>7.0761800968800172E-6</v>
      </c>
    </row>
    <row r="99" spans="1:12" s="1" customFormat="1" ht="15" customHeight="1" thickBot="1" x14ac:dyDescent="0.35">
      <c r="A99" s="24" t="s">
        <v>181</v>
      </c>
      <c r="B99" s="25" t="s">
        <v>182</v>
      </c>
      <c r="C99" s="26">
        <v>500</v>
      </c>
      <c r="D99" s="7">
        <f t="shared" si="17"/>
        <v>1.1530567534534051</v>
      </c>
      <c r="E99" s="25">
        <v>0.02</v>
      </c>
      <c r="F99" s="25">
        <v>564</v>
      </c>
      <c r="G99" s="25">
        <v>412</v>
      </c>
      <c r="H99" s="27">
        <v>0.15920000000000001</v>
      </c>
      <c r="I99" s="5">
        <f t="shared" si="18"/>
        <v>-2.772354763849969</v>
      </c>
      <c r="J99" s="5">
        <f t="shared" si="19"/>
        <v>-2.8237222638358017</v>
      </c>
      <c r="K99" s="2">
        <f t="shared" si="20"/>
        <v>1.8306326261317452E-2</v>
      </c>
      <c r="L99" s="6">
        <f t="shared" si="21"/>
        <v>2.8685307331029227E-6</v>
      </c>
    </row>
    <row r="100" spans="1:12" s="1" customFormat="1" ht="15" customHeight="1" thickBot="1" x14ac:dyDescent="0.35">
      <c r="A100" s="24" t="s">
        <v>183</v>
      </c>
      <c r="B100" s="25" t="s">
        <v>184</v>
      </c>
      <c r="C100" s="26">
        <v>510</v>
      </c>
      <c r="D100" s="7">
        <f t="shared" si="17"/>
        <v>1.176117888522473</v>
      </c>
      <c r="E100" s="25">
        <v>0.01</v>
      </c>
      <c r="F100" s="25">
        <v>2</v>
      </c>
      <c r="G100" s="25">
        <v>4</v>
      </c>
      <c r="H100" s="27">
        <v>0.16800000000000001</v>
      </c>
      <c r="I100" s="5">
        <f t="shared" si="18"/>
        <v>-2.9896866929443529</v>
      </c>
      <c r="J100" s="5">
        <f t="shared" si="19"/>
        <v>-3.0438936024771412</v>
      </c>
      <c r="K100" s="2">
        <f t="shared" si="20"/>
        <v>9.170346343230773E-3</v>
      </c>
      <c r="L100" s="6">
        <f t="shared" si="21"/>
        <v>6.8832519019055059E-7</v>
      </c>
    </row>
    <row r="101" spans="1:12" s="1" customFormat="1" ht="15" customHeight="1" thickBot="1" x14ac:dyDescent="0.35">
      <c r="A101" s="24" t="s">
        <v>185</v>
      </c>
      <c r="B101" s="25" t="s">
        <v>186</v>
      </c>
      <c r="C101" s="26">
        <v>520</v>
      </c>
      <c r="D101" s="7">
        <f t="shared" si="17"/>
        <v>1.1991790235915412</v>
      </c>
      <c r="E101" s="25">
        <v>0.02</v>
      </c>
      <c r="F101" s="25">
        <v>100</v>
      </c>
      <c r="G101" s="25">
        <v>206</v>
      </c>
      <c r="H101" s="27">
        <v>0.1875</v>
      </c>
      <c r="I101" s="5">
        <f t="shared" si="18"/>
        <v>-2.9937611343562613</v>
      </c>
      <c r="J101" s="5">
        <f t="shared" si="19"/>
        <v>-3.0542599173169624</v>
      </c>
      <c r="K101" s="2">
        <f t="shared" si="20"/>
        <v>1.0072269252537236E-2</v>
      </c>
      <c r="L101" s="6">
        <f t="shared" si="21"/>
        <v>9.8559837794117585E-5</v>
      </c>
    </row>
    <row r="102" spans="1:12" s="1" customFormat="1" ht="15" customHeight="1" x14ac:dyDescent="0.3">
      <c r="A102" s="24" t="s">
        <v>187</v>
      </c>
      <c r="B102" s="25" t="s">
        <v>188</v>
      </c>
      <c r="C102" s="26">
        <v>540</v>
      </c>
      <c r="D102" s="7">
        <f t="shared" si="17"/>
        <v>1.2453012937296775</v>
      </c>
      <c r="E102" s="25">
        <v>0.01</v>
      </c>
      <c r="F102" s="25">
        <v>20</v>
      </c>
      <c r="G102" s="25">
        <v>23</v>
      </c>
      <c r="H102" s="27">
        <v>0.22270000000000001</v>
      </c>
      <c r="I102" s="5">
        <f t="shared" si="18"/>
        <v>-3.0353252825569763</v>
      </c>
      <c r="J102" s="5">
        <f t="shared" si="19"/>
        <v>-3.1071817037054998</v>
      </c>
      <c r="K102" s="2">
        <f t="shared" si="20"/>
        <v>1.0295185814835461E-2</v>
      </c>
      <c r="L102" s="6">
        <f t="shared" si="21"/>
        <v>8.7134665280075158E-8</v>
      </c>
    </row>
  </sheetData>
  <hyperlinks>
    <hyperlink ref="A3" r:id="rId1" display="https://finance.yahoo.com/quote/SPY211029C00375000?p=SPY211029C00375000" xr:uid="{A4D79FAE-D3ED-4BFA-A05E-B4C957F9D5A4}"/>
    <hyperlink ref="C3" r:id="rId2" display="https://finance.yahoo.com/quote/SPY/options?strike=375&amp;straddle=false" xr:uid="{645E0E60-D61A-42CD-B078-1B5CD6AC1EFC}"/>
    <hyperlink ref="A4" r:id="rId3" display="https://finance.yahoo.com/quote/SPY211029C00380000?p=SPY211029C00380000" xr:uid="{3BC7C38D-CC55-4B89-9ACA-4D6E5E54C284}"/>
    <hyperlink ref="C4" r:id="rId4" display="https://finance.yahoo.com/quote/SPY/options?strike=380&amp;straddle=false" xr:uid="{44AEA142-A5FE-4AB8-915F-3EB7B554B352}"/>
    <hyperlink ref="A5" r:id="rId5" display="https://finance.yahoo.com/quote/SPY211029C00385000?p=SPY211029C00385000" xr:uid="{1BA60647-2D4D-4380-845F-2CC974BADA9C}"/>
    <hyperlink ref="C5" r:id="rId6" display="https://finance.yahoo.com/quote/SPY/options?strike=385&amp;straddle=false" xr:uid="{A4620B1D-A0D0-41EE-88EC-68350E6C8E38}"/>
    <hyperlink ref="A6" r:id="rId7" display="https://finance.yahoo.com/quote/SPY211029C00390000?p=SPY211029C00390000" xr:uid="{76B0159A-E496-45A9-97FE-DCD72A5D2DE8}"/>
    <hyperlink ref="C6" r:id="rId8" display="https://finance.yahoo.com/quote/SPY/options?strike=390&amp;straddle=false" xr:uid="{66FEBA8D-4174-4E08-922E-1C0518BE47BC}"/>
    <hyperlink ref="A7" r:id="rId9" display="https://finance.yahoo.com/quote/SPY211029C00395000?p=SPY211029C00395000" xr:uid="{488C86C6-63B6-4932-BFBB-198CE7A3B5B1}"/>
    <hyperlink ref="C7" r:id="rId10" display="https://finance.yahoo.com/quote/SPY/options?strike=395&amp;straddle=false" xr:uid="{270BF744-7635-47CD-9F9B-FDC406F57C20}"/>
    <hyperlink ref="A8" r:id="rId11" display="https://finance.yahoo.com/quote/SPY211029C00400000?p=SPY211029C00400000" xr:uid="{A6AE33AC-A742-4A0C-A3DB-E84E838E64DE}"/>
    <hyperlink ref="C8" r:id="rId12" display="https://finance.yahoo.com/quote/SPY/options?strike=400&amp;straddle=false" xr:uid="{1623F53F-C536-453E-82D8-FE630C304FE3}"/>
    <hyperlink ref="A9" r:id="rId13" display="https://finance.yahoo.com/quote/SPY211029C00402000?p=SPY211029C00402000" xr:uid="{771DA245-47EA-45E6-9F2A-EB3C03C4B3BE}"/>
    <hyperlink ref="C9" r:id="rId14" display="https://finance.yahoo.com/quote/SPY/options?strike=402&amp;straddle=false" xr:uid="{09374270-07E1-4CA3-8142-071AA10D0E1D}"/>
    <hyperlink ref="A10" r:id="rId15" display="https://finance.yahoo.com/quote/SPY211029C00403000?p=SPY211029C00403000" xr:uid="{C5A671D8-91DA-496F-964F-7318F6B9F283}"/>
    <hyperlink ref="C10" r:id="rId16" display="https://finance.yahoo.com/quote/SPY/options?strike=403&amp;straddle=false" xr:uid="{A6E46693-3265-4BF0-B512-122160AAB954}"/>
    <hyperlink ref="A11" r:id="rId17" display="https://finance.yahoo.com/quote/SPY211029C00405000?p=SPY211029C00405000" xr:uid="{7AB79973-5D8B-4791-B75F-7AAAB7BA5AB6}"/>
    <hyperlink ref="C11" r:id="rId18" display="https://finance.yahoo.com/quote/SPY/options?strike=405&amp;straddle=false" xr:uid="{84061297-9324-44D4-A382-CE8E8782C233}"/>
    <hyperlink ref="A12" r:id="rId19" display="https://finance.yahoo.com/quote/SPY211029C00406000?p=SPY211029C00406000" xr:uid="{EA73F267-BF16-4D4C-9C67-B4E94256AA92}"/>
    <hyperlink ref="C12" r:id="rId20" display="https://finance.yahoo.com/quote/SPY/options?strike=406&amp;straddle=false" xr:uid="{9064245C-4651-4F3B-AD71-A030C406F0E0}"/>
    <hyperlink ref="A13" r:id="rId21" display="https://finance.yahoo.com/quote/SPY211029C00408000?p=SPY211029C00408000" xr:uid="{6F3C584A-E523-480D-BDC5-5C8650EA7B3F}"/>
    <hyperlink ref="C13" r:id="rId22" display="https://finance.yahoo.com/quote/SPY/options?strike=408&amp;straddle=false" xr:uid="{45FDAFED-E2A0-462D-803F-3D6C5720D591}"/>
    <hyperlink ref="A14" r:id="rId23" display="https://finance.yahoo.com/quote/SPY211029C00409000?p=SPY211029C00409000" xr:uid="{51D12BA9-DEDA-4C1C-8DD0-6D96E65C5E92}"/>
    <hyperlink ref="C14" r:id="rId24" display="https://finance.yahoo.com/quote/SPY/options?strike=409&amp;straddle=false" xr:uid="{C67A4D78-E159-4648-8452-CC72463223DA}"/>
    <hyperlink ref="A15" r:id="rId25" display="https://finance.yahoo.com/quote/SPY211029C00410000?p=SPY211029C00410000" xr:uid="{C4D36D92-4C8B-493C-AB54-A546C3EC8320}"/>
    <hyperlink ref="C15" r:id="rId26" display="https://finance.yahoo.com/quote/SPY/options?strike=410&amp;straddle=false" xr:uid="{82113787-D37C-41A7-94D4-878616F45369}"/>
    <hyperlink ref="A16" r:id="rId27" display="https://finance.yahoo.com/quote/SPY211029C00414000?p=SPY211029C00414000" xr:uid="{ED0B02D1-26FA-445F-93A8-22524DFE2C48}"/>
    <hyperlink ref="C16" r:id="rId28" display="https://finance.yahoo.com/quote/SPY/options?strike=414&amp;straddle=false" xr:uid="{0438366C-D0C5-4810-9271-5DD5EC9B8FDD}"/>
    <hyperlink ref="A17" r:id="rId29" display="https://finance.yahoo.com/quote/SPY211029C00415000?p=SPY211029C00415000" xr:uid="{08C21266-ED4E-4F7F-8634-1086BA9AF239}"/>
    <hyperlink ref="C17" r:id="rId30" display="https://finance.yahoo.com/quote/SPY/options?strike=415&amp;straddle=false" xr:uid="{73289C2C-3ACD-4595-8E4C-BE6F114A9D09}"/>
    <hyperlink ref="A18" r:id="rId31" display="https://finance.yahoo.com/quote/SPY211029C00416000?p=SPY211029C00416000" xr:uid="{F54013D1-3A74-40F6-84D1-C49B5FC275DF}"/>
    <hyperlink ref="C18" r:id="rId32" display="https://finance.yahoo.com/quote/SPY/options?strike=416&amp;straddle=false" xr:uid="{90F19763-093E-411B-8F00-F91327144748}"/>
    <hyperlink ref="A19" r:id="rId33" display="https://finance.yahoo.com/quote/SPY211029C00417500?p=SPY211029C00417500" xr:uid="{4E65E399-165E-4E9B-B4F4-AE3BA1413C6F}"/>
    <hyperlink ref="C19" r:id="rId34" display="https://finance.yahoo.com/quote/SPY/options?strike=417.5&amp;straddle=false" xr:uid="{92E29264-9E42-4BBC-9984-685AA05B0E53}"/>
    <hyperlink ref="A20" r:id="rId35" display="https://finance.yahoo.com/quote/SPY211029C00420000?p=SPY211029C00420000" xr:uid="{CD8938EA-72A5-4677-9F2B-918C934F978E}"/>
    <hyperlink ref="C20" r:id="rId36" display="https://finance.yahoo.com/quote/SPY/options?strike=420&amp;straddle=false" xr:uid="{A44BF14E-BB5F-4D99-B805-35A509EEB971}"/>
    <hyperlink ref="A21" r:id="rId37" display="https://finance.yahoo.com/quote/SPY211029C00421000?p=SPY211029C00421000" xr:uid="{382CA77D-0389-42A4-8535-5AC3D786CFB9}"/>
    <hyperlink ref="C21" r:id="rId38" display="https://finance.yahoo.com/quote/SPY/options?strike=421&amp;straddle=false" xr:uid="{7D9FEF0B-528E-4ACF-9AC1-D86CF005EF6D}"/>
    <hyperlink ref="A22" r:id="rId39" display="https://finance.yahoo.com/quote/SPY211029C00422500?p=SPY211029C00422500" xr:uid="{E906FBEE-DD31-4C4B-BC73-293BD3B243B1}"/>
    <hyperlink ref="C22" r:id="rId40" display="https://finance.yahoo.com/quote/SPY/options?strike=422.5&amp;straddle=false" xr:uid="{80DE973F-CB48-47D3-86A5-436C860F9526}"/>
    <hyperlink ref="A23" r:id="rId41" display="https://finance.yahoo.com/quote/SPY211029C00424000?p=SPY211029C00424000" xr:uid="{50EC42E1-8642-42B8-A66E-294DCCF279D8}"/>
    <hyperlink ref="C23" r:id="rId42" display="https://finance.yahoo.com/quote/SPY/options?strike=424&amp;straddle=false" xr:uid="{E063E402-6F51-420D-A996-FB76BDAEE1BF}"/>
    <hyperlink ref="A24" r:id="rId43" display="https://finance.yahoo.com/quote/SPY211029C00425000?p=SPY211029C00425000" xr:uid="{8B38085C-6AEC-4675-ADEB-747E0AA101E6}"/>
    <hyperlink ref="C24" r:id="rId44" display="https://finance.yahoo.com/quote/SPY/options?strike=425&amp;straddle=false" xr:uid="{470E1FB5-9F02-4B58-AB3E-6772A78D2F01}"/>
    <hyperlink ref="A25" r:id="rId45" display="https://finance.yahoo.com/quote/SPY211029C00426000?p=SPY211029C00426000" xr:uid="{E8E1BD91-95EF-4110-B2E2-D6889C92213E}"/>
    <hyperlink ref="C25" r:id="rId46" display="https://finance.yahoo.com/quote/SPY/options?strike=426&amp;straddle=false" xr:uid="{9885244F-08A1-425F-9214-F051E78B01B1}"/>
    <hyperlink ref="A26" r:id="rId47" display="https://finance.yahoo.com/quote/SPY211029C00427000?p=SPY211029C00427000" xr:uid="{F63C295B-5180-4903-A51B-8E917E96F525}"/>
    <hyperlink ref="C26" r:id="rId48" display="https://finance.yahoo.com/quote/SPY/options?strike=427&amp;straddle=false" xr:uid="{BF5609BA-71BB-446A-A83B-9FA6E79661A5}"/>
    <hyperlink ref="A27" r:id="rId49" display="https://finance.yahoo.com/quote/SPY211029C00427500?p=SPY211029C00427500" xr:uid="{A0F68CA6-BA17-4256-8CE9-2DA3F8773146}"/>
    <hyperlink ref="C27" r:id="rId50" display="https://finance.yahoo.com/quote/SPY/options?strike=427.5&amp;straddle=false" xr:uid="{B5500CE0-E9C8-4B8C-ABD8-E820FC744DA0}"/>
    <hyperlink ref="A28" r:id="rId51" display="https://finance.yahoo.com/quote/SPY211029C00428000?p=SPY211029C00428000" xr:uid="{DA9951CB-24E8-460E-B42C-43CAB2ED1FC8}"/>
    <hyperlink ref="C28" r:id="rId52" display="https://finance.yahoo.com/quote/SPY/options?strike=428&amp;straddle=false" xr:uid="{42E31B7A-2437-42F7-9E77-0FD692E3A8F0}"/>
    <hyperlink ref="A29" r:id="rId53" display="https://finance.yahoo.com/quote/SPY211029C00430000?p=SPY211029C00430000" xr:uid="{7AB79288-C6AC-4C44-A232-D72FBE8B7965}"/>
    <hyperlink ref="C29" r:id="rId54" display="https://finance.yahoo.com/quote/SPY/options?strike=430&amp;straddle=false" xr:uid="{B6FDDA8E-99A5-4FD1-9FA1-109993BB6751}"/>
    <hyperlink ref="A30" r:id="rId55" display="https://finance.yahoo.com/quote/SPY211029C00431000?p=SPY211029C00431000" xr:uid="{20D312C6-26B6-47BE-84A1-C31C3CAF2DE3}"/>
    <hyperlink ref="C30" r:id="rId56" display="https://finance.yahoo.com/quote/SPY/options?strike=431&amp;straddle=false" xr:uid="{109AC19C-B611-41EB-82D0-9CC48EC60869}"/>
    <hyperlink ref="A31" r:id="rId57" display="https://finance.yahoo.com/quote/SPY211029C00432000?p=SPY211029C00432000" xr:uid="{C7069D5E-0589-4F82-A037-9BD879FCFC39}"/>
    <hyperlink ref="C31" r:id="rId58" display="https://finance.yahoo.com/quote/SPY/options?strike=432&amp;straddle=false" xr:uid="{411C5C78-7497-4578-8CA0-AA9B34FDF77B}"/>
    <hyperlink ref="A32" r:id="rId59" display="https://finance.yahoo.com/quote/SPY211029C00432500?p=SPY211029C00432500" xr:uid="{75658EC3-DD70-4118-A130-327CCAD5BB71}"/>
    <hyperlink ref="C32" r:id="rId60" display="https://finance.yahoo.com/quote/SPY/options?strike=432.5&amp;straddle=false" xr:uid="{8277E628-2473-485F-8894-4DC9EE4B70D1}"/>
    <hyperlink ref="A33" r:id="rId61" display="https://finance.yahoo.com/quote/SPY211029C00434000?p=SPY211029C00434000" xr:uid="{6F3E3CA3-C519-4466-89F8-27DBEA929682}"/>
    <hyperlink ref="C33" r:id="rId62" display="https://finance.yahoo.com/quote/SPY/options?strike=434&amp;straddle=false" xr:uid="{C1FDB8B5-1751-43E1-B9CF-28797D539AEC}"/>
    <hyperlink ref="A34" r:id="rId63" display="https://finance.yahoo.com/quote/SPY211029C00435000?p=SPY211029C00435000" xr:uid="{637546B5-C1E1-4ED1-AE1A-AB1E45F7A7F0}"/>
    <hyperlink ref="C34" r:id="rId64" display="https://finance.yahoo.com/quote/SPY/options?strike=435&amp;straddle=false" xr:uid="{45DCCBEB-0412-4451-AC4F-70429ACE5CF6}"/>
    <hyperlink ref="A35" r:id="rId65" display="https://finance.yahoo.com/quote/SPY211029C00436000?p=SPY211029C00436000" xr:uid="{DE5DC305-DCCE-4F3D-9EF7-7E959C4E7782}"/>
    <hyperlink ref="C35" r:id="rId66" display="https://finance.yahoo.com/quote/SPY/options?strike=436&amp;straddle=false" xr:uid="{A3FCB988-AE4E-4E63-B067-A7F16CE7B1A4}"/>
    <hyperlink ref="A36" r:id="rId67" display="https://finance.yahoo.com/quote/SPY211029C00437000?p=SPY211029C00437000" xr:uid="{E5A341E9-F7AF-42B3-B317-CD3989FF5DA0}"/>
    <hyperlink ref="C36" r:id="rId68" display="https://finance.yahoo.com/quote/SPY/options?strike=437&amp;straddle=false" xr:uid="{6D477D95-1646-483A-93CB-FA7217E3115F}"/>
    <hyperlink ref="A37" r:id="rId69" display="https://finance.yahoo.com/quote/SPY211029C00437500?p=SPY211029C00437500" xr:uid="{85A368E4-DD62-4581-BEEA-EB55671A1DB6}"/>
    <hyperlink ref="C37" r:id="rId70" display="https://finance.yahoo.com/quote/SPY/options?strike=437.5&amp;straddle=false" xr:uid="{1DCF702A-A08B-4213-B222-F2C85E990774}"/>
    <hyperlink ref="A38" r:id="rId71" display="https://finance.yahoo.com/quote/SPY211029C00438000?p=SPY211029C00438000" xr:uid="{F6979BCE-9770-43CF-BC9C-AA50E5EC12BB}"/>
    <hyperlink ref="C38" r:id="rId72" display="https://finance.yahoo.com/quote/SPY/options?strike=438&amp;straddle=false" xr:uid="{34ADEB78-A63C-46CF-9283-742E9B6FB303}"/>
    <hyperlink ref="A39" r:id="rId73" display="https://finance.yahoo.com/quote/SPY211029C00439000?p=SPY211029C00439000" xr:uid="{12C76D30-4F5F-4A94-8F92-9DBBA9123504}"/>
    <hyperlink ref="C39" r:id="rId74" display="https://finance.yahoo.com/quote/SPY/options?strike=439&amp;straddle=false" xr:uid="{802BD5FF-FDFC-41AD-B06B-5B0851C0288F}"/>
    <hyperlink ref="A40" r:id="rId75" display="https://finance.yahoo.com/quote/SPY211029C00440000?p=SPY211029C00440000" xr:uid="{427C5D3D-9DC4-4C77-9E0F-95EE6346821F}"/>
    <hyperlink ref="C40" r:id="rId76" display="https://finance.yahoo.com/quote/SPY/options?strike=440&amp;straddle=false" xr:uid="{D87DB41C-2B0C-4F79-8C12-43437526AB46}"/>
    <hyperlink ref="A41" r:id="rId77" display="https://finance.yahoo.com/quote/SPY211029C00441000?p=SPY211029C00441000" xr:uid="{13EE8713-FE65-4676-A020-DA4EE9C75834}"/>
    <hyperlink ref="C41" r:id="rId78" display="https://finance.yahoo.com/quote/SPY/options?strike=441&amp;straddle=false" xr:uid="{3098668B-1E36-4DF2-B3ED-E9C0409E1062}"/>
    <hyperlink ref="A42" r:id="rId79" display="https://finance.yahoo.com/quote/SPY211029C00442000?p=SPY211029C00442000" xr:uid="{E25B36EA-CF8F-4950-8BEC-D8990A1A3139}"/>
    <hyperlink ref="C42" r:id="rId80" display="https://finance.yahoo.com/quote/SPY/options?strike=442&amp;straddle=false" xr:uid="{C2D3FCFD-3B4F-4264-B8AD-0CB3FE11E5BA}"/>
    <hyperlink ref="A43" r:id="rId81" display="https://finance.yahoo.com/quote/SPY211029C00442500?p=SPY211029C00442500" xr:uid="{3FE81A1A-ABD8-452C-8017-AE048704BB59}"/>
    <hyperlink ref="C43" r:id="rId82" display="https://finance.yahoo.com/quote/SPY/options?strike=442.5&amp;straddle=false" xr:uid="{948FE3A9-4537-472F-BCFF-A7B17DA10907}"/>
    <hyperlink ref="A44" r:id="rId83" display="https://finance.yahoo.com/quote/SPY211029C00443000?p=SPY211029C00443000" xr:uid="{F3D1DF02-6BE2-4B22-8D95-F934EBC04B83}"/>
    <hyperlink ref="C44" r:id="rId84" display="https://finance.yahoo.com/quote/SPY/options?strike=443&amp;straddle=false" xr:uid="{6DF62F09-BF9D-43ED-8CDE-E85D37037A4A}"/>
    <hyperlink ref="A45" r:id="rId85" display="https://finance.yahoo.com/quote/SPY211029C00444000?p=SPY211029C00444000" xr:uid="{77D9A69F-0636-4BA3-A18C-F513395E4E3C}"/>
    <hyperlink ref="C45" r:id="rId86" display="https://finance.yahoo.com/quote/SPY/options?strike=444&amp;straddle=false" xr:uid="{2A35F183-4DA9-4361-AD7E-5F558949E712}"/>
    <hyperlink ref="A46" r:id="rId87" display="https://finance.yahoo.com/quote/SPY211029C00445000?p=SPY211029C00445000" xr:uid="{7526313A-29DC-4411-87BD-5725B185B656}"/>
    <hyperlink ref="C46" r:id="rId88" display="https://finance.yahoo.com/quote/SPY/options?strike=445&amp;straddle=false" xr:uid="{693D304D-2A59-4956-B2A4-A147FBA7EDC7}"/>
    <hyperlink ref="A47" r:id="rId89" display="https://finance.yahoo.com/quote/SPY211029C00446000?p=SPY211029C00446000" xr:uid="{37ECC7AC-C14C-4BE5-BAA7-5707294B3D28}"/>
    <hyperlink ref="C47" r:id="rId90" display="https://finance.yahoo.com/quote/SPY/options?strike=446&amp;straddle=false" xr:uid="{22D557B9-E38B-4587-9020-22DABC757497}"/>
    <hyperlink ref="A48" r:id="rId91" display="https://finance.yahoo.com/quote/SPY211029C00447000?p=SPY211029C00447000" xr:uid="{3E1264F3-7F8D-4AB7-AE91-FE78BD409A17}"/>
    <hyperlink ref="C48" r:id="rId92" display="https://finance.yahoo.com/quote/SPY/options?strike=447&amp;straddle=false" xr:uid="{12984B94-FA89-47C0-8B05-F3FCB42F32A5}"/>
    <hyperlink ref="A49" r:id="rId93" display="https://finance.yahoo.com/quote/SPY211029C00447500?p=SPY211029C00447500" xr:uid="{4C0792DC-8393-424D-8CE9-D9E3BCD0F190}"/>
    <hyperlink ref="C49" r:id="rId94" display="https://finance.yahoo.com/quote/SPY/options?strike=447.5&amp;straddle=false" xr:uid="{759881AD-E5F8-45BB-920B-C8D85E70F031}"/>
    <hyperlink ref="A50" r:id="rId95" display="https://finance.yahoo.com/quote/SPY211029C00448000?p=SPY211029C00448000" xr:uid="{28B54995-6141-4AD0-BE35-7D416C3AA7DC}"/>
    <hyperlink ref="C50" r:id="rId96" display="https://finance.yahoo.com/quote/SPY/options?strike=448&amp;straddle=false" xr:uid="{76DD60FF-53E0-4706-BAE4-01CC190F67A9}"/>
    <hyperlink ref="A51" r:id="rId97" display="https://finance.yahoo.com/quote/SPY211029C00449000?p=SPY211029C00449000" xr:uid="{24D17E1E-7BD3-4C01-85DF-9D2206C8B267}"/>
    <hyperlink ref="C51" r:id="rId98" display="https://finance.yahoo.com/quote/SPY/options?strike=449&amp;straddle=false" xr:uid="{B2B16FCC-75B2-4134-8BC0-45C0327F7712}"/>
    <hyperlink ref="A52" r:id="rId99" display="https://finance.yahoo.com/quote/SPY211029C00450000?p=SPY211029C00450000" xr:uid="{1B409BFC-10B1-4249-AA34-1DF1DB59DF3A}"/>
    <hyperlink ref="C52" r:id="rId100" display="https://finance.yahoo.com/quote/SPY/options?strike=450&amp;straddle=false" xr:uid="{2FA9EE62-58BF-42DE-B720-507BFAB08F01}"/>
    <hyperlink ref="A53" r:id="rId101" display="https://finance.yahoo.com/quote/SPY211029C00451000?p=SPY211029C00451000" xr:uid="{EA199307-9753-45BF-8DF2-081859B9C386}"/>
    <hyperlink ref="C53" r:id="rId102" display="https://finance.yahoo.com/quote/SPY/options?strike=451&amp;straddle=false" xr:uid="{09555404-1789-4B2F-838F-E745FC074744}"/>
    <hyperlink ref="A54" r:id="rId103" display="https://finance.yahoo.com/quote/SPY211029C00452000?p=SPY211029C00452000" xr:uid="{9B2C8E3C-E21D-4D39-8A74-D42185B5B348}"/>
    <hyperlink ref="C54" r:id="rId104" display="https://finance.yahoo.com/quote/SPY/options?strike=452&amp;straddle=false" xr:uid="{2BE7F96E-D4CC-488E-BEAB-C19C0AD19B3A}"/>
    <hyperlink ref="A55" r:id="rId105" display="https://finance.yahoo.com/quote/SPY211029C00452500?p=SPY211029C00452500" xr:uid="{9EB7574A-4899-46C1-A8B3-7195C1F8BC82}"/>
    <hyperlink ref="C55" r:id="rId106" display="https://finance.yahoo.com/quote/SPY/options?strike=452.5&amp;straddle=false" xr:uid="{DCD91E52-1F27-43FE-B30C-14C97C95D4CA}"/>
    <hyperlink ref="A56" r:id="rId107" display="https://finance.yahoo.com/quote/SPY211029C00453000?p=SPY211029C00453000" xr:uid="{E75FACF3-6E23-42C7-AD47-11E9ECC976DF}"/>
    <hyperlink ref="C56" r:id="rId108" display="https://finance.yahoo.com/quote/SPY/options?strike=453&amp;straddle=false" xr:uid="{4954961B-7A7D-457D-B588-C2BA086E7B8A}"/>
    <hyperlink ref="A57" r:id="rId109" display="https://finance.yahoo.com/quote/SPY211029C00454000?p=SPY211029C00454000" xr:uid="{41CB0039-A4CB-4D40-B100-E8B6FFA1062E}"/>
    <hyperlink ref="C57" r:id="rId110" display="https://finance.yahoo.com/quote/SPY/options?strike=454&amp;straddle=false" xr:uid="{9A286677-6BDB-4739-BFCD-A3DA9C2105CE}"/>
    <hyperlink ref="A58" r:id="rId111" display="https://finance.yahoo.com/quote/SPY211029C00455000?p=SPY211029C00455000" xr:uid="{929A587A-C6AB-43F3-8C2C-8360A431405F}"/>
    <hyperlink ref="C58" r:id="rId112" display="https://finance.yahoo.com/quote/SPY/options?strike=455&amp;straddle=false" xr:uid="{419C31CD-C558-4C02-AB5B-6EB46D02CF6D}"/>
    <hyperlink ref="A59" r:id="rId113" display="https://finance.yahoo.com/quote/SPY211029C00456000?p=SPY211029C00456000" xr:uid="{3330DBC0-ABDB-40D6-994B-DA02B2B3CFA0}"/>
    <hyperlink ref="C59" r:id="rId114" display="https://finance.yahoo.com/quote/SPY/options?strike=456&amp;straddle=false" xr:uid="{16211B1C-3935-429C-8C61-763926BDFCBC}"/>
    <hyperlink ref="A60" r:id="rId115" display="https://finance.yahoo.com/quote/SPY211029C00457000?p=SPY211029C00457000" xr:uid="{00586DAF-C6ED-43B6-A950-C3B291649D36}"/>
    <hyperlink ref="C60" r:id="rId116" display="https://finance.yahoo.com/quote/SPY/options?strike=457&amp;straddle=false" xr:uid="{472DBCC5-9DC8-4D6D-BC97-AE58B4D7F0A2}"/>
    <hyperlink ref="A61" r:id="rId117" display="https://finance.yahoo.com/quote/SPY211029C00457500?p=SPY211029C00457500" xr:uid="{AB8CA11A-6871-49BC-ACCB-89E17190541C}"/>
    <hyperlink ref="C61" r:id="rId118" display="https://finance.yahoo.com/quote/SPY/options?strike=457.5&amp;straddle=false" xr:uid="{CE4481E8-4C6C-4DD6-901D-93A1142B745F}"/>
    <hyperlink ref="A62" r:id="rId119" display="https://finance.yahoo.com/quote/SPY211029C00458000?p=SPY211029C00458000" xr:uid="{9C786438-9443-47EC-A8A9-0748385A45B1}"/>
    <hyperlink ref="C62" r:id="rId120" display="https://finance.yahoo.com/quote/SPY/options?strike=458&amp;straddle=false" xr:uid="{622DB26A-780E-4223-8F4F-222940B99539}"/>
    <hyperlink ref="A63" r:id="rId121" display="https://finance.yahoo.com/quote/SPY211029C00459000?p=SPY211029C00459000" xr:uid="{ADA26DAF-5FF5-4DE5-8350-786C646CC614}"/>
    <hyperlink ref="C63" r:id="rId122" display="https://finance.yahoo.com/quote/SPY/options?strike=459&amp;straddle=false" xr:uid="{1A5DA979-A37B-4396-8335-3DD3E9655D55}"/>
    <hyperlink ref="A64" r:id="rId123" display="https://finance.yahoo.com/quote/SPY211029C00460000?p=SPY211029C00460000" xr:uid="{3F9EE108-E379-4F7C-968B-4547F45F55E2}"/>
    <hyperlink ref="C64" r:id="rId124" display="https://finance.yahoo.com/quote/SPY/options?strike=460&amp;straddle=false" xr:uid="{768459C4-8C8E-4201-B062-4CAE9FA4884A}"/>
    <hyperlink ref="A65" r:id="rId125" display="https://finance.yahoo.com/quote/SPY211029C00461000?p=SPY211029C00461000" xr:uid="{24F0B653-1C7B-480E-9663-4C1F575D1DDD}"/>
    <hyperlink ref="C65" r:id="rId126" display="https://finance.yahoo.com/quote/SPY/options?strike=461&amp;straddle=false" xr:uid="{28746235-A4C5-4CCE-8E61-6F3C5BD7D554}"/>
    <hyperlink ref="A66" r:id="rId127" display="https://finance.yahoo.com/quote/SPY211029C00462000?p=SPY211029C00462000" xr:uid="{4DB24FE4-0663-4FA3-9455-052EDCE35E5F}"/>
    <hyperlink ref="C66" r:id="rId128" display="https://finance.yahoo.com/quote/SPY/options?strike=462&amp;straddle=false" xr:uid="{57A17456-E284-4B44-A9BF-FEAB380314F1}"/>
    <hyperlink ref="A67" r:id="rId129" display="https://finance.yahoo.com/quote/SPY211029C00462500?p=SPY211029C00462500" xr:uid="{EBB326EB-CE7B-40DC-A193-E6397169AA3D}"/>
    <hyperlink ref="C67" r:id="rId130" display="https://finance.yahoo.com/quote/SPY/options?strike=462.5&amp;straddle=false" xr:uid="{939BB340-7884-42F7-8F5B-51A909006E55}"/>
    <hyperlink ref="A68" r:id="rId131" display="https://finance.yahoo.com/quote/SPY211029C00463000?p=SPY211029C00463000" xr:uid="{57F079BD-D90E-4B6C-9EB6-F666724BE698}"/>
    <hyperlink ref="C68" r:id="rId132" display="https://finance.yahoo.com/quote/SPY/options?strike=463&amp;straddle=false" xr:uid="{DC2C1BD2-AF67-4FFD-BE86-EE4D7C106BEB}"/>
    <hyperlink ref="A69" r:id="rId133" display="https://finance.yahoo.com/quote/SPY211029C00464000?p=SPY211029C00464000" xr:uid="{A291D403-197B-46E3-B1E4-7F84370B9B63}"/>
    <hyperlink ref="C69" r:id="rId134" display="https://finance.yahoo.com/quote/SPY/options?strike=464&amp;straddle=false" xr:uid="{D3289986-4186-441C-95B9-A871516BA480}"/>
    <hyperlink ref="A70" r:id="rId135" display="https://finance.yahoo.com/quote/SPY211029C00465000?p=SPY211029C00465000" xr:uid="{50C4204E-C2B2-4281-B1AD-A3B9292FA7B7}"/>
    <hyperlink ref="C70" r:id="rId136" display="https://finance.yahoo.com/quote/SPY/options?strike=465&amp;straddle=false" xr:uid="{EA6C1AB2-B658-40B2-87EA-755BBD7CD85E}"/>
    <hyperlink ref="A71" r:id="rId137" display="https://finance.yahoo.com/quote/SPY211029C00466000?p=SPY211029C00466000" xr:uid="{C138A22E-0B17-456C-BBAA-D5D580905780}"/>
    <hyperlink ref="C71" r:id="rId138" display="https://finance.yahoo.com/quote/SPY/options?strike=466&amp;straddle=false" xr:uid="{F7D212CC-AEE6-48CB-A968-DA74C28F69F8}"/>
    <hyperlink ref="A72" r:id="rId139" display="https://finance.yahoo.com/quote/SPY211029C00467000?p=SPY211029C00467000" xr:uid="{59F538A7-0FAC-4843-AD58-50587309BDE8}"/>
    <hyperlink ref="C72" r:id="rId140" display="https://finance.yahoo.com/quote/SPY/options?strike=467&amp;straddle=false" xr:uid="{72B76C3D-4F34-40D9-9B36-A1BDDCFB4C9F}"/>
    <hyperlink ref="A73" r:id="rId141" display="https://finance.yahoo.com/quote/SPY211029C00467500?p=SPY211029C00467500" xr:uid="{31B0659B-8F2C-4FF9-A3C4-43317C1D04EC}"/>
    <hyperlink ref="C73" r:id="rId142" display="https://finance.yahoo.com/quote/SPY/options?strike=467.5&amp;straddle=false" xr:uid="{5B9C5324-25C6-4169-9B22-C7332CCAAD8F}"/>
    <hyperlink ref="A74" r:id="rId143" display="https://finance.yahoo.com/quote/SPY211029C00468000?p=SPY211029C00468000" xr:uid="{FAE80E13-11FB-4E96-B9C0-CB484D4114DD}"/>
    <hyperlink ref="C74" r:id="rId144" display="https://finance.yahoo.com/quote/SPY/options?strike=468&amp;straddle=false" xr:uid="{E0264C9D-C486-4F0E-9C14-9DF4DDC7C604}"/>
    <hyperlink ref="A75" r:id="rId145" display="https://finance.yahoo.com/quote/SPY211029C00469000?p=SPY211029C00469000" xr:uid="{A143475B-E271-437F-A2A2-E290D62C410C}"/>
    <hyperlink ref="C75" r:id="rId146" display="https://finance.yahoo.com/quote/SPY/options?strike=469&amp;straddle=false" xr:uid="{810BFFF6-9773-403E-9147-29D33FDD71A6}"/>
    <hyperlink ref="A76" r:id="rId147" display="https://finance.yahoo.com/quote/SPY211029C00470000?p=SPY211029C00470000" xr:uid="{9A96B727-7FDC-4607-89D2-CFA1357A2AD7}"/>
    <hyperlink ref="C76" r:id="rId148" display="https://finance.yahoo.com/quote/SPY/options?strike=470&amp;straddle=false" xr:uid="{852C17DD-A260-46D7-B99F-FDFDD61EF4C1}"/>
    <hyperlink ref="A77" r:id="rId149" display="https://finance.yahoo.com/quote/SPY211029C00471000?p=SPY211029C00471000" xr:uid="{B772039D-EC13-47F1-A590-9EA330517329}"/>
    <hyperlink ref="C77" r:id="rId150" display="https://finance.yahoo.com/quote/SPY/options?strike=471&amp;straddle=false" xr:uid="{703B5BB6-8A25-40D3-A67C-94AB9FD134A0}"/>
    <hyperlink ref="A78" r:id="rId151" display="https://finance.yahoo.com/quote/SPY211029C00472000?p=SPY211029C00472000" xr:uid="{291B5097-BEF4-4A27-8CE4-80449B444551}"/>
    <hyperlink ref="C78" r:id="rId152" display="https://finance.yahoo.com/quote/SPY/options?strike=472&amp;straddle=false" xr:uid="{BC787016-DBD4-495E-890D-711CFF8D96F4}"/>
    <hyperlink ref="A79" r:id="rId153" display="https://finance.yahoo.com/quote/SPY211029C00472500?p=SPY211029C00472500" xr:uid="{206A30FE-F042-4F14-9F4C-1E76C620117D}"/>
    <hyperlink ref="C79" r:id="rId154" display="https://finance.yahoo.com/quote/SPY/options?strike=472.5&amp;straddle=false" xr:uid="{80D3EEF2-C6CE-4572-930F-04EFEFF7060B}"/>
    <hyperlink ref="A80" r:id="rId155" display="https://finance.yahoo.com/quote/SPY211029C00473000?p=SPY211029C00473000" xr:uid="{029A43F0-D771-43DD-95FA-8FF752E7731D}"/>
    <hyperlink ref="C80" r:id="rId156" display="https://finance.yahoo.com/quote/SPY/options?strike=473&amp;straddle=false" xr:uid="{E8D27209-E742-413E-AC15-DA0CC8230BB3}"/>
    <hyperlink ref="A81" r:id="rId157" display="https://finance.yahoo.com/quote/SPY211029C00474000?p=SPY211029C00474000" xr:uid="{B32B423C-7DEF-4D8B-8314-FAA8BC2110A7}"/>
    <hyperlink ref="C81" r:id="rId158" display="https://finance.yahoo.com/quote/SPY/options?strike=474&amp;straddle=false" xr:uid="{9E0E259F-8DAD-413C-8D41-F54DB4E50FDE}"/>
    <hyperlink ref="A82" r:id="rId159" display="https://finance.yahoo.com/quote/SPY211029C00475000?p=SPY211029C00475000" xr:uid="{2C6EFE56-4554-4178-AC4D-3F7B4F793259}"/>
    <hyperlink ref="C82" r:id="rId160" display="https://finance.yahoo.com/quote/SPY/options?strike=475&amp;straddle=false" xr:uid="{98D19F11-6E60-4C0E-B42E-A629BFF9688E}"/>
    <hyperlink ref="A83" r:id="rId161" display="https://finance.yahoo.com/quote/SPY211029C00476000?p=SPY211029C00476000" xr:uid="{291DEA41-0FEA-403C-94D8-6115D39B6C08}"/>
    <hyperlink ref="C83" r:id="rId162" display="https://finance.yahoo.com/quote/SPY/options?strike=476&amp;straddle=false" xr:uid="{E378D6EB-1392-425A-9165-F77E40FDDF88}"/>
    <hyperlink ref="A84" r:id="rId163" display="https://finance.yahoo.com/quote/SPY211029C00477000?p=SPY211029C00477000" xr:uid="{1E422D62-BA7B-4A96-843E-09D18EC89DBA}"/>
    <hyperlink ref="C84" r:id="rId164" display="https://finance.yahoo.com/quote/SPY/options?strike=477&amp;straddle=false" xr:uid="{BC7834FE-0DC3-469E-AA77-FC79D39D3A35}"/>
    <hyperlink ref="A85" r:id="rId165" display="https://finance.yahoo.com/quote/SPY211029C00477500?p=SPY211029C00477500" xr:uid="{ED343EEA-65ED-4AFC-A2B3-F555E963237B}"/>
    <hyperlink ref="C85" r:id="rId166" display="https://finance.yahoo.com/quote/SPY/options?strike=477.5&amp;straddle=false" xr:uid="{B5C61E73-F111-4337-8E4C-749280143909}"/>
    <hyperlink ref="A86" r:id="rId167" display="https://finance.yahoo.com/quote/SPY211029C00478000?p=SPY211029C00478000" xr:uid="{1D52914D-FA76-4FFA-BF22-03E25C4F21F7}"/>
    <hyperlink ref="C86" r:id="rId168" display="https://finance.yahoo.com/quote/SPY/options?strike=478&amp;straddle=false" xr:uid="{F12F72B2-59DB-496E-8294-D3D09EC9E523}"/>
    <hyperlink ref="A87" r:id="rId169" display="https://finance.yahoo.com/quote/SPY211029C00479000?p=SPY211029C00479000" xr:uid="{925BFFC7-44B1-45FB-B2B2-11A6C15B4E98}"/>
    <hyperlink ref="C87" r:id="rId170" display="https://finance.yahoo.com/quote/SPY/options?strike=479&amp;straddle=false" xr:uid="{9A8E732F-60CB-49CF-AD0E-5F40E4661132}"/>
    <hyperlink ref="A88" r:id="rId171" display="https://finance.yahoo.com/quote/SPY211029C00480000?p=SPY211029C00480000" xr:uid="{09C272C3-74C2-42EB-998C-E8C704199A30}"/>
    <hyperlink ref="C88" r:id="rId172" display="https://finance.yahoo.com/quote/SPY/options?strike=480&amp;straddle=false" xr:uid="{E1A32827-E601-4402-A71C-C08A8AC2BB1C}"/>
    <hyperlink ref="A89" r:id="rId173" display="https://finance.yahoo.com/quote/SPY211029C00482000?p=SPY211029C00482000" xr:uid="{68E95404-2666-46AA-B52B-F222BFB79F82}"/>
    <hyperlink ref="C89" r:id="rId174" display="https://finance.yahoo.com/quote/SPY/options?strike=482&amp;straddle=false" xr:uid="{716A4CB2-3233-4E01-A4E6-BE833370AB68}"/>
    <hyperlink ref="A90" r:id="rId175" display="https://finance.yahoo.com/quote/SPY211029C00482500?p=SPY211029C00482500" xr:uid="{C867CA72-9E90-4C0E-AC05-437E81EFFE86}"/>
    <hyperlink ref="C90" r:id="rId176" display="https://finance.yahoo.com/quote/SPY/options?strike=482.5&amp;straddle=false" xr:uid="{7B01C364-0AE2-4C02-BF19-AA768FAD30D3}"/>
    <hyperlink ref="A91" r:id="rId177" display="https://finance.yahoo.com/quote/SPY211029C00483000?p=SPY211029C00483000" xr:uid="{6BF16286-2B7E-4860-871F-1F855DF22B58}"/>
    <hyperlink ref="C91" r:id="rId178" display="https://finance.yahoo.com/quote/SPY/options?strike=483&amp;straddle=false" xr:uid="{71D51D67-DEEB-417E-AA72-2CA60761C727}"/>
    <hyperlink ref="A92" r:id="rId179" display="https://finance.yahoo.com/quote/SPY211029C00484000?p=SPY211029C00484000" xr:uid="{B04D4A38-6997-4184-B0E2-9F5C35CAB5B0}"/>
    <hyperlink ref="C92" r:id="rId180" display="https://finance.yahoo.com/quote/SPY/options?strike=484&amp;straddle=false" xr:uid="{7726FCC4-A5C7-4594-B568-E69184A12D9C}"/>
    <hyperlink ref="A93" r:id="rId181" display="https://finance.yahoo.com/quote/SPY211029C00485000?p=SPY211029C00485000" xr:uid="{002B3F4B-416B-447B-A3A2-FFDEBE1D8DAC}"/>
    <hyperlink ref="C93" r:id="rId182" display="https://finance.yahoo.com/quote/SPY/options?strike=485&amp;straddle=false" xr:uid="{8D4D1CBB-598E-41FA-9964-83B3283640D7}"/>
    <hyperlink ref="A94" r:id="rId183" display="https://finance.yahoo.com/quote/SPY211029C00486000?p=SPY211029C00486000" xr:uid="{A0DA5C41-CA27-4C62-B7BD-76A13AA31573}"/>
    <hyperlink ref="C94" r:id="rId184" display="https://finance.yahoo.com/quote/SPY/options?strike=486&amp;straddle=false" xr:uid="{F04BCD07-6A49-4A5D-BDBA-984A9787EA9E}"/>
    <hyperlink ref="A95" r:id="rId185" display="https://finance.yahoo.com/quote/SPY211029C00487000?p=SPY211029C00487000" xr:uid="{22FF9A57-04AF-4127-8774-F36DFEC4C99D}"/>
    <hyperlink ref="C95" r:id="rId186" display="https://finance.yahoo.com/quote/SPY/options?strike=487&amp;straddle=false" xr:uid="{FEA52AF1-EEDD-4EC2-A221-D2BF4377A683}"/>
    <hyperlink ref="A96" r:id="rId187" display="https://finance.yahoo.com/quote/SPY211029C00488000?p=SPY211029C00488000" xr:uid="{68F2A02B-7578-4BBF-8B13-7ACD5693598C}"/>
    <hyperlink ref="C96" r:id="rId188" display="https://finance.yahoo.com/quote/SPY/options?strike=488&amp;straddle=false" xr:uid="{5B3BF78E-BF5C-4096-A14C-D9D893A30C9E}"/>
    <hyperlink ref="A97" r:id="rId189" display="https://finance.yahoo.com/quote/SPY211029C00490000?p=SPY211029C00490000" xr:uid="{1FFA8B41-DC1B-4F40-B485-EB0ED3088FEE}"/>
    <hyperlink ref="C97" r:id="rId190" display="https://finance.yahoo.com/quote/SPY/options?strike=490&amp;straddle=false" xr:uid="{87BB3251-9E82-4CA3-9D2F-2A51BFB0E5DA}"/>
    <hyperlink ref="A98" r:id="rId191" display="https://finance.yahoo.com/quote/SPY211029C00495000?p=SPY211029C00495000" xr:uid="{27FDF87D-1CD5-4DDC-BE0E-15D9839191AA}"/>
    <hyperlink ref="C98" r:id="rId192" display="https://finance.yahoo.com/quote/SPY/options?strike=495&amp;straddle=false" xr:uid="{CB536701-A8BE-4A37-8AED-32647A618478}"/>
    <hyperlink ref="A99" r:id="rId193" display="https://finance.yahoo.com/quote/SPY211029C00500000?p=SPY211029C00500000" xr:uid="{B3132B69-0618-4109-A80D-B81FCF676472}"/>
    <hyperlink ref="C99" r:id="rId194" display="https://finance.yahoo.com/quote/SPY/options?strike=500&amp;straddle=false" xr:uid="{9A790278-4314-4C4D-9438-1EB0DFE82B01}"/>
    <hyperlink ref="A100" r:id="rId195" display="https://finance.yahoo.com/quote/SPY211029C00510000?p=SPY211029C00510000" xr:uid="{AEB55826-31AE-488B-AAF8-E9D7668ACEA1}"/>
    <hyperlink ref="C100" r:id="rId196" display="https://finance.yahoo.com/quote/SPY/options?strike=510&amp;straddle=false" xr:uid="{8195CC4A-0040-491C-A925-7342B1CE0877}"/>
    <hyperlink ref="A101" r:id="rId197" display="https://finance.yahoo.com/quote/SPY211029C00520000?p=SPY211029C00520000" xr:uid="{234EB7B3-2FC2-4FCF-814B-F92F49E15D63}"/>
    <hyperlink ref="C101" r:id="rId198" display="https://finance.yahoo.com/quote/SPY/options?strike=520&amp;straddle=false" xr:uid="{A044F65F-A0AC-420A-A5F9-61203CD4F69C}"/>
    <hyperlink ref="A102" r:id="rId199" display="https://finance.yahoo.com/quote/SPY211029C00540000?p=SPY211029C00540000" xr:uid="{11CCF655-ECA0-47D2-B37B-F76C03EDD8B2}"/>
    <hyperlink ref="C102" r:id="rId200" display="https://finance.yahoo.com/quote/SPY/options?strike=540&amp;straddle=false" xr:uid="{E109A097-1860-49DB-8905-E63C721CF0C0}"/>
  </hyperlinks>
  <pageMargins left="0.7" right="0.7" top="0.75" bottom="0.75" header="0.3" footer="0.3"/>
  <pageSetup paperSize="9" orientation="portrait" r:id="rId2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281F-67EC-4E2A-B8A8-D05382E1952B}">
  <dimension ref="A1:P116"/>
  <sheetViews>
    <sheetView topLeftCell="A105" zoomScale="72" workbookViewId="0">
      <selection activeCell="P108" sqref="P108"/>
    </sheetView>
  </sheetViews>
  <sheetFormatPr defaultRowHeight="14.5" x14ac:dyDescent="0.35"/>
  <cols>
    <col min="1" max="1" width="19.81640625" bestFit="1" customWidth="1"/>
    <col min="2" max="2" width="8.7265625" customWidth="1"/>
    <col min="3" max="3" width="6.26953125" bestFit="1" customWidth="1"/>
    <col min="4" max="4" width="6.36328125" bestFit="1" customWidth="1"/>
    <col min="5" max="5" width="13.36328125" customWidth="1"/>
    <col min="6" max="8" width="8.7265625" hidden="1" customWidth="1"/>
    <col min="12" max="12" width="16.90625" customWidth="1"/>
  </cols>
  <sheetData>
    <row r="1" spans="1:16" x14ac:dyDescent="0.35">
      <c r="A1" s="39" t="s">
        <v>189</v>
      </c>
      <c r="M1" s="15" t="s">
        <v>12</v>
      </c>
      <c r="N1" s="16" t="s">
        <v>13</v>
      </c>
      <c r="O1" s="16" t="s">
        <v>14</v>
      </c>
      <c r="P1" s="17" t="s">
        <v>15</v>
      </c>
    </row>
    <row r="2" spans="1:16" ht="22.5" thickBot="1" x14ac:dyDescent="0.4">
      <c r="A2" s="40" t="s">
        <v>0</v>
      </c>
      <c r="B2" s="41" t="s">
        <v>1</v>
      </c>
      <c r="C2" s="42" t="s">
        <v>2</v>
      </c>
      <c r="D2" s="41" t="s">
        <v>3</v>
      </c>
      <c r="E2" s="41" t="s">
        <v>10</v>
      </c>
      <c r="F2" s="19"/>
      <c r="I2" s="3" t="s">
        <v>18</v>
      </c>
      <c r="J2" s="3" t="s">
        <v>19</v>
      </c>
      <c r="K2" s="3" t="s">
        <v>708</v>
      </c>
      <c r="L2" s="4" t="s">
        <v>21</v>
      </c>
      <c r="M2" s="8">
        <v>433.63</v>
      </c>
      <c r="N2" s="1">
        <f>38/365</f>
        <v>0.10410958904109589</v>
      </c>
      <c r="O2" s="9">
        <v>4.0000000000000002E-4</v>
      </c>
      <c r="P2" s="10">
        <v>1.2999999999999999E-2</v>
      </c>
    </row>
    <row r="3" spans="1:16" ht="52.5" thickBot="1" x14ac:dyDescent="0.4">
      <c r="A3" s="24" t="s">
        <v>190</v>
      </c>
      <c r="B3" s="25" t="s">
        <v>191</v>
      </c>
      <c r="C3" s="26">
        <v>240</v>
      </c>
      <c r="D3" s="25">
        <v>0.09</v>
      </c>
      <c r="E3" s="27">
        <v>0.69104584378642897</v>
      </c>
      <c r="F3" s="1"/>
      <c r="I3" s="5">
        <f>(LN($M$2/C3)+($O$2-$P$2+0.5*E3^2)*$N$2)/(E3*SQRT($N$2))</f>
        <v>2.7586276297276906</v>
      </c>
      <c r="J3" s="5">
        <f>I3-E3*SQRT($N$2)</f>
        <v>2.5356546562923317</v>
      </c>
      <c r="K3" s="65">
        <f xml:space="preserve"> C3*M$5*_xlfn.NORM.S.DIST(-J3,TRUE) - $N$5*_xlfn.NORM.S.DIST(-I3,TRUE)</f>
        <v>8.999958421748766E-2</v>
      </c>
      <c r="L3" s="6">
        <f>(D3-K3)^2</f>
        <v>1.728750975646985E-13</v>
      </c>
      <c r="M3" s="8"/>
      <c r="N3" s="1"/>
      <c r="O3" s="1"/>
      <c r="P3" s="11"/>
    </row>
    <row r="4" spans="1:16" ht="39.5" thickBot="1" x14ac:dyDescent="0.4">
      <c r="A4" s="24" t="s">
        <v>192</v>
      </c>
      <c r="B4" s="25" t="s">
        <v>193</v>
      </c>
      <c r="C4" s="26">
        <v>250</v>
      </c>
      <c r="D4" s="25">
        <v>0.12</v>
      </c>
      <c r="E4" s="27">
        <v>0.66713928744434603</v>
      </c>
      <c r="F4" s="1"/>
      <c r="I4" s="5">
        <f t="shared" ref="I4:I67" si="0">(LN($M$2/C4)+($O$2-$P$2+0.5*E4^2)*$N$2)/(E4*SQRT($N$2))</f>
        <v>2.6599885339719167</v>
      </c>
      <c r="J4" s="5">
        <f t="shared" ref="J4:J67" si="1">I4-E4*SQRT($N$2)</f>
        <v>2.4447292542084376</v>
      </c>
      <c r="K4" s="65">
        <f t="shared" ref="K4:K67" si="2" xml:space="preserve"> C4*M$5*_xlfn.NORM.S.DIST(-J4,TRUE) - $N$5*_xlfn.NORM.S.DIST(-I4,TRUE)</f>
        <v>0.11996331491739687</v>
      </c>
      <c r="L4" s="65">
        <f>(D4-K4)^2</f>
        <v>1.3457952855982737E-9</v>
      </c>
      <c r="M4" s="18" t="s">
        <v>16</v>
      </c>
      <c r="N4" s="19" t="s">
        <v>17</v>
      </c>
      <c r="O4" s="1"/>
      <c r="P4" s="11"/>
    </row>
    <row r="5" spans="1:16" ht="52.5" thickBot="1" x14ac:dyDescent="0.4">
      <c r="A5" s="24" t="s">
        <v>194</v>
      </c>
      <c r="B5" s="25" t="s">
        <v>195</v>
      </c>
      <c r="C5" s="26">
        <v>270</v>
      </c>
      <c r="D5" s="25">
        <v>0.28000000000000003</v>
      </c>
      <c r="E5" s="27">
        <v>0.64406639085247397</v>
      </c>
      <c r="F5" s="19"/>
      <c r="I5" s="5">
        <f t="shared" si="0"/>
        <v>2.3773661935244976</v>
      </c>
      <c r="J5" s="5">
        <f t="shared" si="1"/>
        <v>2.1695516186313459</v>
      </c>
      <c r="K5" s="65">
        <f t="shared" si="2"/>
        <v>0.27990354157144637</v>
      </c>
      <c r="L5" s="6">
        <f t="shared" ref="L5:L67" si="3">(D5-K5)^2</f>
        <v>9.3042284390412393E-9</v>
      </c>
      <c r="M5" s="12">
        <f>EXP(-O2*N2)</f>
        <v>0.99995835703147606</v>
      </c>
      <c r="N5" s="13">
        <f>M2*EXP(-P2*N2)</f>
        <v>433.04351143931854</v>
      </c>
      <c r="O5" s="13"/>
      <c r="P5" s="14"/>
    </row>
    <row r="6" spans="1:16" ht="52.5" thickBot="1" x14ac:dyDescent="0.4">
      <c r="A6" s="24" t="s">
        <v>196</v>
      </c>
      <c r="B6" s="25" t="s">
        <v>197</v>
      </c>
      <c r="C6" s="26">
        <v>275</v>
      </c>
      <c r="D6" s="25">
        <v>0.17</v>
      </c>
      <c r="E6" s="27">
        <v>0.58361091151365829</v>
      </c>
      <c r="F6" s="1"/>
      <c r="I6" s="5">
        <f t="shared" si="0"/>
        <v>2.5056753323518084</v>
      </c>
      <c r="J6" s="5">
        <f t="shared" si="1"/>
        <v>2.3173673330496123</v>
      </c>
      <c r="K6" s="65">
        <f t="shared" si="2"/>
        <v>0.17011465499412548</v>
      </c>
      <c r="L6" s="6">
        <f t="shared" si="3"/>
        <v>1.3145767677911147E-8</v>
      </c>
      <c r="M6" s="1"/>
      <c r="N6" s="1"/>
      <c r="O6" s="1"/>
      <c r="P6" s="1"/>
    </row>
    <row r="7" spans="1:16" ht="52.5" thickBot="1" x14ac:dyDescent="0.4">
      <c r="A7" s="24" t="s">
        <v>198</v>
      </c>
      <c r="B7" s="25" t="s">
        <v>199</v>
      </c>
      <c r="C7" s="26">
        <v>280</v>
      </c>
      <c r="D7" s="25">
        <v>0.19</v>
      </c>
      <c r="E7" s="27">
        <v>0.56997603175115752</v>
      </c>
      <c r="F7" s="1"/>
      <c r="G7" s="1"/>
      <c r="H7" s="1"/>
      <c r="I7" s="5">
        <f t="shared" si="0"/>
        <v>2.4631883154733805</v>
      </c>
      <c r="J7" s="5">
        <f t="shared" si="1"/>
        <v>2.2792797488722338</v>
      </c>
      <c r="K7" s="65">
        <f t="shared" si="2"/>
        <v>0.18926127238611556</v>
      </c>
      <c r="L7" s="6">
        <f t="shared" si="3"/>
        <v>5.4571848751539515E-7</v>
      </c>
    </row>
    <row r="8" spans="1:16" ht="39.5" thickBot="1" x14ac:dyDescent="0.4">
      <c r="A8" s="24" t="s">
        <v>200</v>
      </c>
      <c r="B8" s="25" t="s">
        <v>201</v>
      </c>
      <c r="C8" s="26">
        <v>285</v>
      </c>
      <c r="D8" s="25">
        <v>0.37</v>
      </c>
      <c r="E8" s="27">
        <v>0.60007334787456823</v>
      </c>
      <c r="I8" s="5">
        <f t="shared" si="0"/>
        <v>2.2576980571434029</v>
      </c>
      <c r="J8" s="5">
        <f t="shared" si="1"/>
        <v>2.0640782852310569</v>
      </c>
      <c r="K8" s="65">
        <f t="shared" si="2"/>
        <v>0.36990192136624866</v>
      </c>
      <c r="L8" s="6">
        <f t="shared" si="3"/>
        <v>9.6194183985276526E-9</v>
      </c>
    </row>
    <row r="9" spans="1:16" ht="39.5" thickBot="1" x14ac:dyDescent="0.4">
      <c r="A9" s="24" t="s">
        <v>202</v>
      </c>
      <c r="B9" s="25" t="s">
        <v>203</v>
      </c>
      <c r="C9" s="26">
        <v>290</v>
      </c>
      <c r="D9" s="25">
        <v>0.26</v>
      </c>
      <c r="E9" s="27">
        <v>0.55030524740344744</v>
      </c>
      <c r="I9" s="5">
        <f t="shared" si="0"/>
        <v>2.3471461134919904</v>
      </c>
      <c r="J9" s="5">
        <f t="shared" si="1"/>
        <v>2.1695845256264112</v>
      </c>
      <c r="K9" s="65">
        <f t="shared" si="2"/>
        <v>0.25925441142761319</v>
      </c>
      <c r="L9" s="6">
        <f t="shared" si="3"/>
        <v>5.5590231927382202E-7</v>
      </c>
    </row>
    <row r="10" spans="1:16" ht="52.5" thickBot="1" x14ac:dyDescent="0.4">
      <c r="A10" s="24" t="s">
        <v>204</v>
      </c>
      <c r="B10" s="25" t="s">
        <v>205</v>
      </c>
      <c r="C10" s="26">
        <v>295</v>
      </c>
      <c r="D10" s="25">
        <v>0.28999999999999998</v>
      </c>
      <c r="E10" s="27">
        <v>0.53714690445264213</v>
      </c>
      <c r="I10" s="5">
        <f t="shared" si="0"/>
        <v>2.30171420077445</v>
      </c>
      <c r="J10" s="5">
        <f t="shared" si="1"/>
        <v>2.1283982861584878</v>
      </c>
      <c r="K10" s="65">
        <f t="shared" si="2"/>
        <v>0.28912667363343125</v>
      </c>
      <c r="L10" s="6">
        <f t="shared" si="3"/>
        <v>7.6269894254413523E-7</v>
      </c>
    </row>
    <row r="11" spans="1:16" ht="39.5" thickBot="1" x14ac:dyDescent="0.4">
      <c r="A11" s="24" t="s">
        <v>206</v>
      </c>
      <c r="B11" s="25" t="s">
        <v>57</v>
      </c>
      <c r="C11" s="26">
        <v>300</v>
      </c>
      <c r="D11" s="25">
        <v>0.31</v>
      </c>
      <c r="E11" s="27">
        <v>0.52104554586703244</v>
      </c>
      <c r="I11" s="5">
        <f t="shared" si="0"/>
        <v>2.2675956958988071</v>
      </c>
      <c r="J11" s="5">
        <f t="shared" si="1"/>
        <v>2.0994750484745421</v>
      </c>
      <c r="K11" s="65">
        <f t="shared" si="2"/>
        <v>0.30941447049912796</v>
      </c>
      <c r="L11" s="6">
        <f t="shared" si="3"/>
        <v>3.4284479639145982E-7</v>
      </c>
    </row>
    <row r="12" spans="1:16" ht="39.5" thickBot="1" x14ac:dyDescent="0.4">
      <c r="A12" s="24" t="s">
        <v>207</v>
      </c>
      <c r="B12" s="25" t="s">
        <v>208</v>
      </c>
      <c r="C12" s="26">
        <v>305</v>
      </c>
      <c r="D12" s="25">
        <v>0.48</v>
      </c>
      <c r="E12" s="27">
        <v>0.53350568508584184</v>
      </c>
      <c r="I12" s="5">
        <f t="shared" si="0"/>
        <v>2.1225871004285812</v>
      </c>
      <c r="J12" s="5">
        <f t="shared" si="1"/>
        <v>1.9504460622936024</v>
      </c>
      <c r="K12" s="65">
        <f t="shared" si="2"/>
        <v>0.47999105520010676</v>
      </c>
      <c r="L12" s="6">
        <f t="shared" si="3"/>
        <v>8.0009445129711807E-11</v>
      </c>
    </row>
    <row r="13" spans="1:16" ht="39.5" thickBot="1" x14ac:dyDescent="0.4">
      <c r="A13" s="24" t="s">
        <v>209</v>
      </c>
      <c r="B13" s="25" t="s">
        <v>210</v>
      </c>
      <c r="C13" s="26">
        <v>310</v>
      </c>
      <c r="D13" s="25">
        <v>0.35</v>
      </c>
      <c r="E13" s="27">
        <v>0.48818981380502607</v>
      </c>
      <c r="I13" s="5">
        <f t="shared" si="0"/>
        <v>2.2010858062103709</v>
      </c>
      <c r="J13" s="5">
        <f t="shared" si="1"/>
        <v>2.0435663950689555</v>
      </c>
      <c r="K13" s="65">
        <f t="shared" si="2"/>
        <v>0.35004024243151832</v>
      </c>
      <c r="L13" s="6">
        <f t="shared" si="3"/>
        <v>1.6194532945086648E-9</v>
      </c>
    </row>
    <row r="14" spans="1:16" ht="52.5" thickBot="1" x14ac:dyDescent="0.4">
      <c r="A14" s="24" t="s">
        <v>211</v>
      </c>
      <c r="B14" s="25" t="s">
        <v>212</v>
      </c>
      <c r="C14" s="26">
        <v>315</v>
      </c>
      <c r="D14" s="25">
        <v>0.45</v>
      </c>
      <c r="E14" s="27">
        <v>0.48548191308476174</v>
      </c>
      <c r="I14" s="5">
        <f t="shared" si="0"/>
        <v>2.1103432405082616</v>
      </c>
      <c r="J14" s="5">
        <f t="shared" si="1"/>
        <v>1.9536975610892697</v>
      </c>
      <c r="K14" s="65">
        <f t="shared" si="2"/>
        <v>0.44955065123772542</v>
      </c>
      <c r="L14" s="6">
        <f t="shared" si="3"/>
        <v>2.0191431015770857E-7</v>
      </c>
    </row>
    <row r="15" spans="1:16" ht="52.5" thickBot="1" x14ac:dyDescent="0.4">
      <c r="A15" s="24" t="s">
        <v>213</v>
      </c>
      <c r="B15" s="25" t="s">
        <v>214</v>
      </c>
      <c r="C15" s="26">
        <v>320</v>
      </c>
      <c r="D15" s="25">
        <v>0.54</v>
      </c>
      <c r="E15" s="27">
        <v>0.47816186201614408</v>
      </c>
      <c r="I15" s="5">
        <f t="shared" si="0"/>
        <v>2.0381959918185424</v>
      </c>
      <c r="J15" s="5">
        <f t="shared" si="1"/>
        <v>1.8839122013641454</v>
      </c>
      <c r="K15" s="65">
        <f t="shared" si="2"/>
        <v>0.53967814329823582</v>
      </c>
      <c r="L15" s="6">
        <f t="shared" si="3"/>
        <v>1.0359173647053662E-7</v>
      </c>
    </row>
    <row r="16" spans="1:16" ht="52.5" thickBot="1" x14ac:dyDescent="0.4">
      <c r="A16" s="24" t="s">
        <v>215</v>
      </c>
      <c r="B16" s="25" t="s">
        <v>216</v>
      </c>
      <c r="C16" s="26">
        <v>325</v>
      </c>
      <c r="D16" s="25">
        <v>0.52</v>
      </c>
      <c r="E16" s="27">
        <v>0.45430532341519503</v>
      </c>
      <c r="I16" s="5">
        <f t="shared" si="0"/>
        <v>2.031557969586951</v>
      </c>
      <c r="J16" s="5">
        <f t="shared" si="1"/>
        <v>1.8849717340712868</v>
      </c>
      <c r="K16" s="65">
        <f t="shared" si="2"/>
        <v>0.52068946609872135</v>
      </c>
      <c r="L16" s="6">
        <f t="shared" si="3"/>
        <v>4.7536350128601951E-7</v>
      </c>
    </row>
    <row r="17" spans="1:12" ht="39.5" thickBot="1" x14ac:dyDescent="0.4">
      <c r="A17" s="24" t="s">
        <v>217</v>
      </c>
      <c r="B17" s="25" t="s">
        <v>218</v>
      </c>
      <c r="C17" s="26">
        <v>330</v>
      </c>
      <c r="D17" s="25">
        <v>0.53</v>
      </c>
      <c r="E17" s="27">
        <v>0.43462151690663109</v>
      </c>
      <c r="I17" s="5">
        <f t="shared" si="0"/>
        <v>2.0082007018743782</v>
      </c>
      <c r="J17" s="5">
        <f t="shared" si="1"/>
        <v>1.8679656468269916</v>
      </c>
      <c r="K17" s="65">
        <f t="shared" si="2"/>
        <v>0.5294804483397364</v>
      </c>
      <c r="L17" s="6">
        <f t="shared" si="3"/>
        <v>2.6993392768269287E-7</v>
      </c>
    </row>
    <row r="18" spans="1:12" ht="52.5" thickBot="1" x14ac:dyDescent="0.4">
      <c r="A18" s="24" t="s">
        <v>219</v>
      </c>
      <c r="B18" s="25" t="s">
        <v>220</v>
      </c>
      <c r="C18" s="26">
        <v>335</v>
      </c>
      <c r="D18" s="25">
        <v>0.66</v>
      </c>
      <c r="E18" s="27">
        <v>0.42968396041675938</v>
      </c>
      <c r="I18" s="5">
        <f t="shared" si="0"/>
        <v>1.9212092994169774</v>
      </c>
      <c r="J18" s="5">
        <f t="shared" si="1"/>
        <v>1.7825673972145879</v>
      </c>
      <c r="K18" s="65">
        <f t="shared" si="2"/>
        <v>0.65959175363814637</v>
      </c>
      <c r="L18" s="6">
        <f t="shared" si="3"/>
        <v>1.666650919667488E-7</v>
      </c>
    </row>
    <row r="19" spans="1:12" ht="52.5" thickBot="1" x14ac:dyDescent="0.4">
      <c r="A19" s="24" t="s">
        <v>221</v>
      </c>
      <c r="B19" s="25" t="s">
        <v>222</v>
      </c>
      <c r="C19" s="26">
        <v>340</v>
      </c>
      <c r="D19" s="25">
        <v>0.73</v>
      </c>
      <c r="E19" s="27">
        <v>0.41600379907003593</v>
      </c>
      <c r="I19" s="5">
        <f t="shared" si="0"/>
        <v>1.8695284163495993</v>
      </c>
      <c r="J19" s="5">
        <f t="shared" si="1"/>
        <v>1.7353005574121847</v>
      </c>
      <c r="K19" s="65">
        <f t="shared" si="2"/>
        <v>0.72953389941513436</v>
      </c>
      <c r="L19" s="6">
        <f t="shared" si="3"/>
        <v>2.1724975521207791E-7</v>
      </c>
    </row>
    <row r="20" spans="1:12" ht="39.5" thickBot="1" x14ac:dyDescent="0.4">
      <c r="A20" s="24" t="s">
        <v>223</v>
      </c>
      <c r="B20" s="25" t="s">
        <v>224</v>
      </c>
      <c r="C20" s="26">
        <v>345</v>
      </c>
      <c r="D20" s="25">
        <v>0.84</v>
      </c>
      <c r="E20" s="27">
        <v>0.4052600541024497</v>
      </c>
      <c r="I20" s="5">
        <f t="shared" si="0"/>
        <v>1.803933807824879</v>
      </c>
      <c r="J20" s="5">
        <f t="shared" si="1"/>
        <v>1.673172527527353</v>
      </c>
      <c r="K20" s="65">
        <f t="shared" si="2"/>
        <v>0.83954871643383555</v>
      </c>
      <c r="L20" s="6">
        <f t="shared" si="3"/>
        <v>2.0365685709007435E-7</v>
      </c>
    </row>
    <row r="21" spans="1:12" ht="39.5" thickBot="1" x14ac:dyDescent="0.4">
      <c r="A21" s="24" t="s">
        <v>225</v>
      </c>
      <c r="B21" s="25" t="s">
        <v>226</v>
      </c>
      <c r="C21" s="26">
        <v>350</v>
      </c>
      <c r="D21" s="25">
        <v>0.91</v>
      </c>
      <c r="E21" s="27">
        <v>0.38978007837404205</v>
      </c>
      <c r="I21" s="5">
        <f t="shared" si="0"/>
        <v>1.7560740964117325</v>
      </c>
      <c r="J21" s="5">
        <f t="shared" si="1"/>
        <v>1.6303075878039657</v>
      </c>
      <c r="K21" s="65">
        <f t="shared" si="2"/>
        <v>0.90901559690100342</v>
      </c>
      <c r="L21" s="6">
        <f t="shared" si="3"/>
        <v>9.6904946131413203E-7</v>
      </c>
    </row>
    <row r="22" spans="1:12" ht="39.5" thickBot="1" x14ac:dyDescent="0.4">
      <c r="A22" s="24" t="s">
        <v>227</v>
      </c>
      <c r="B22" s="25" t="s">
        <v>70</v>
      </c>
      <c r="C22" s="26">
        <v>355</v>
      </c>
      <c r="D22" s="25">
        <v>1.05</v>
      </c>
      <c r="E22" s="27">
        <v>0.37911137960416746</v>
      </c>
      <c r="I22" s="5">
        <f t="shared" si="0"/>
        <v>1.6860421530826262</v>
      </c>
      <c r="J22" s="5">
        <f t="shared" si="1"/>
        <v>1.5637180086954021</v>
      </c>
      <c r="K22" s="65">
        <f t="shared" si="2"/>
        <v>1.0494745753577348</v>
      </c>
      <c r="L22" s="6">
        <f t="shared" si="3"/>
        <v>2.7607105469955283E-7</v>
      </c>
    </row>
    <row r="23" spans="1:12" ht="39.5" thickBot="1" x14ac:dyDescent="0.4">
      <c r="A23" s="24" t="s">
        <v>228</v>
      </c>
      <c r="B23" s="25" t="s">
        <v>229</v>
      </c>
      <c r="C23" s="26">
        <v>358</v>
      </c>
      <c r="D23" s="25">
        <v>1.0900000000000001</v>
      </c>
      <c r="E23" s="27">
        <v>0.36890127927816985</v>
      </c>
      <c r="I23" s="5">
        <f t="shared" si="0"/>
        <v>1.6586685840957938</v>
      </c>
      <c r="J23" s="5">
        <f t="shared" si="1"/>
        <v>1.5396388324745938</v>
      </c>
      <c r="K23" s="65">
        <f t="shared" si="2"/>
        <v>1.0899987636044983</v>
      </c>
      <c r="L23" s="6">
        <f t="shared" si="3"/>
        <v>1.528673836767479E-12</v>
      </c>
    </row>
    <row r="24" spans="1:12" ht="39.5" thickBot="1" x14ac:dyDescent="0.4">
      <c r="A24" s="24" t="s">
        <v>230</v>
      </c>
      <c r="B24" s="25" t="s">
        <v>65</v>
      </c>
      <c r="C24" s="26">
        <v>360</v>
      </c>
      <c r="D24" s="25">
        <v>1.1100000000000001</v>
      </c>
      <c r="E24" s="27">
        <v>0.36158116446985245</v>
      </c>
      <c r="I24" s="5">
        <f t="shared" si="0"/>
        <v>1.6421107385573199</v>
      </c>
      <c r="J24" s="5">
        <f t="shared" si="1"/>
        <v>1.5254428964669775</v>
      </c>
      <c r="K24" s="65">
        <f t="shared" si="2"/>
        <v>1.1108511900795008</v>
      </c>
      <c r="L24" s="6">
        <f t="shared" si="3"/>
        <v>7.245245514404778E-7</v>
      </c>
    </row>
    <row r="25" spans="1:12" ht="39.5" thickBot="1" x14ac:dyDescent="0.4">
      <c r="A25" s="24" t="s">
        <v>231</v>
      </c>
      <c r="B25" s="25" t="s">
        <v>132</v>
      </c>
      <c r="C25" s="26">
        <v>362</v>
      </c>
      <c r="D25" s="25">
        <v>1.1000000000000001</v>
      </c>
      <c r="E25" s="27">
        <v>0.3520471959853223</v>
      </c>
      <c r="I25" s="5">
        <f t="shared" si="0"/>
        <v>1.6346908894917247</v>
      </c>
      <c r="J25" s="5">
        <f t="shared" si="1"/>
        <v>1.5210992793485809</v>
      </c>
      <c r="K25" s="65">
        <f t="shared" si="2"/>
        <v>1.0996819576229129</v>
      </c>
      <c r="L25" s="6">
        <f t="shared" si="3"/>
        <v>1.011509536232851E-7</v>
      </c>
    </row>
    <row r="26" spans="1:12" ht="52.5" thickBot="1" x14ac:dyDescent="0.4">
      <c r="A26" s="24" t="s">
        <v>232</v>
      </c>
      <c r="B26" s="25" t="s">
        <v>191</v>
      </c>
      <c r="C26" s="26">
        <v>364</v>
      </c>
      <c r="D26" s="25">
        <v>1.26</v>
      </c>
      <c r="E26" s="27">
        <v>0.35372186032361608</v>
      </c>
      <c r="I26" s="5">
        <f t="shared" si="0"/>
        <v>1.5792162254985274</v>
      </c>
      <c r="J26" s="5">
        <f t="shared" si="1"/>
        <v>1.4650842678655998</v>
      </c>
      <c r="K26" s="65">
        <f t="shared" si="2"/>
        <v>1.260832889852793</v>
      </c>
      <c r="L26" s="6">
        <f t="shared" si="3"/>
        <v>6.9370550688546303E-7</v>
      </c>
    </row>
    <row r="27" spans="1:12" ht="39.5" thickBot="1" x14ac:dyDescent="0.4">
      <c r="A27" s="24" t="s">
        <v>233</v>
      </c>
      <c r="B27" s="25" t="s">
        <v>78</v>
      </c>
      <c r="C27" s="26">
        <v>365</v>
      </c>
      <c r="D27" s="25">
        <v>1.25</v>
      </c>
      <c r="E27" s="27">
        <v>0.34854810577566747</v>
      </c>
      <c r="I27" s="5">
        <f t="shared" si="0"/>
        <v>1.5765812799023702</v>
      </c>
      <c r="J27" s="5">
        <f t="shared" si="1"/>
        <v>1.4641186868213802</v>
      </c>
      <c r="K27" s="65">
        <f t="shared" si="2"/>
        <v>1.249293263205324</v>
      </c>
      <c r="L27" s="6">
        <f t="shared" si="3"/>
        <v>4.9947689694895291E-7</v>
      </c>
    </row>
    <row r="28" spans="1:12" ht="39.5" thickBot="1" x14ac:dyDescent="0.4">
      <c r="A28" s="24" t="s">
        <v>234</v>
      </c>
      <c r="B28" s="25" t="s">
        <v>235</v>
      </c>
      <c r="C28" s="26">
        <v>366</v>
      </c>
      <c r="D28" s="25">
        <v>2.29</v>
      </c>
      <c r="E28" s="27">
        <v>0.39868800280132455</v>
      </c>
      <c r="I28" s="5">
        <f t="shared" si="0"/>
        <v>1.3721993542998299</v>
      </c>
      <c r="J28" s="5">
        <f t="shared" si="1"/>
        <v>1.2435586132304284</v>
      </c>
      <c r="K28" s="65">
        <f t="shared" si="2"/>
        <v>2.2895293861062029</v>
      </c>
      <c r="L28" s="6">
        <f t="shared" si="3"/>
        <v>2.214774370348686E-7</v>
      </c>
    </row>
    <row r="29" spans="1:12" ht="52.5" thickBot="1" x14ac:dyDescent="0.4">
      <c r="A29" s="24" t="s">
        <v>236</v>
      </c>
      <c r="B29" s="25" t="s">
        <v>237</v>
      </c>
      <c r="C29" s="26">
        <v>368</v>
      </c>
      <c r="D29" s="25">
        <v>1.28</v>
      </c>
      <c r="E29" s="27">
        <v>0.33706017446214831</v>
      </c>
      <c r="I29" s="5">
        <f t="shared" si="0"/>
        <v>1.5512799473915488</v>
      </c>
      <c r="J29" s="5">
        <f t="shared" si="1"/>
        <v>1.442524052247647</v>
      </c>
      <c r="K29" s="65">
        <f t="shared" si="2"/>
        <v>1.2799799804454501</v>
      </c>
      <c r="L29" s="6">
        <f t="shared" si="3"/>
        <v>4.00782564375951E-10</v>
      </c>
    </row>
    <row r="30" spans="1:12" ht="39.5" thickBot="1" x14ac:dyDescent="0.4">
      <c r="A30" s="24" t="s">
        <v>238</v>
      </c>
      <c r="B30" s="25" t="s">
        <v>239</v>
      </c>
      <c r="C30" s="26">
        <v>370</v>
      </c>
      <c r="D30" s="25">
        <v>1.57</v>
      </c>
      <c r="E30" s="27">
        <v>0.34426800646855465</v>
      </c>
      <c r="I30" s="5">
        <f t="shared" si="0"/>
        <v>1.4723090391382048</v>
      </c>
      <c r="J30" s="5">
        <f t="shared" si="1"/>
        <v>1.3612274636520483</v>
      </c>
      <c r="K30" s="65">
        <f t="shared" si="2"/>
        <v>1.5693773736390924</v>
      </c>
      <c r="L30" s="6">
        <f t="shared" si="3"/>
        <v>3.87663585297175E-7</v>
      </c>
    </row>
    <row r="31" spans="1:12" ht="39.5" thickBot="1" x14ac:dyDescent="0.4">
      <c r="A31" s="24" t="s">
        <v>240</v>
      </c>
      <c r="B31" s="25" t="s">
        <v>132</v>
      </c>
      <c r="C31" s="26">
        <v>372</v>
      </c>
      <c r="D31" s="25">
        <v>1.43</v>
      </c>
      <c r="E31" s="27">
        <v>0.32765356059363193</v>
      </c>
      <c r="I31" s="5">
        <f t="shared" si="0"/>
        <v>1.4904778083684631</v>
      </c>
      <c r="J31" s="5">
        <f t="shared" si="1"/>
        <v>1.3847570529089692</v>
      </c>
      <c r="K31" s="65">
        <f t="shared" si="2"/>
        <v>1.4299738933695423</v>
      </c>
      <c r="L31" s="6">
        <f t="shared" si="3"/>
        <v>6.8155615385262584E-10</v>
      </c>
    </row>
    <row r="32" spans="1:12" ht="39.5" thickBot="1" x14ac:dyDescent="0.4">
      <c r="A32" s="24" t="s">
        <v>241</v>
      </c>
      <c r="B32" s="25" t="s">
        <v>78</v>
      </c>
      <c r="C32" s="26">
        <v>375</v>
      </c>
      <c r="D32" s="25">
        <v>1.67</v>
      </c>
      <c r="E32" s="27">
        <v>0.32634738068441477</v>
      </c>
      <c r="I32" s="5">
        <f t="shared" si="0"/>
        <v>1.4197415955172461</v>
      </c>
      <c r="J32" s="5">
        <f t="shared" si="1"/>
        <v>1.3144422922968741</v>
      </c>
      <c r="K32" s="65">
        <f t="shared" si="2"/>
        <v>1.670550295024178</v>
      </c>
      <c r="L32" s="6">
        <f t="shared" si="3"/>
        <v>3.028246136350952E-7</v>
      </c>
    </row>
    <row r="33" spans="1:12" ht="39.5" thickBot="1" x14ac:dyDescent="0.4">
      <c r="A33" s="24" t="s">
        <v>242</v>
      </c>
      <c r="B33" s="25" t="s">
        <v>243</v>
      </c>
      <c r="C33" s="26">
        <v>380</v>
      </c>
      <c r="D33" s="25">
        <v>1.88</v>
      </c>
      <c r="E33" s="27">
        <v>0.31271301237910004</v>
      </c>
      <c r="I33" s="5">
        <f t="shared" si="0"/>
        <v>1.345876740608523</v>
      </c>
      <c r="J33" s="5">
        <f t="shared" si="1"/>
        <v>1.244976705062335</v>
      </c>
      <c r="K33" s="65">
        <f t="shared" si="2"/>
        <v>1.8799914400481086</v>
      </c>
      <c r="L33" s="6">
        <f t="shared" si="3"/>
        <v>7.3272776381491895E-11</v>
      </c>
    </row>
    <row r="34" spans="1:12" ht="39.5" thickBot="1" x14ac:dyDescent="0.4">
      <c r="A34" s="24" t="s">
        <v>244</v>
      </c>
      <c r="B34" s="25" t="s">
        <v>127</v>
      </c>
      <c r="C34" s="26">
        <v>385</v>
      </c>
      <c r="D34" s="25">
        <v>2.21</v>
      </c>
      <c r="E34" s="27">
        <v>0.30248321566325082</v>
      </c>
      <c r="I34" s="5">
        <f t="shared" si="0"/>
        <v>1.254100663682979</v>
      </c>
      <c r="J34" s="5">
        <f t="shared" si="1"/>
        <v>1.1565013761434271</v>
      </c>
      <c r="K34" s="65">
        <f t="shared" si="2"/>
        <v>2.2097348181576351</v>
      </c>
      <c r="L34" s="6">
        <f t="shared" si="3"/>
        <v>7.0321409520044414E-8</v>
      </c>
    </row>
    <row r="35" spans="1:12" ht="39.5" thickBot="1" x14ac:dyDescent="0.4">
      <c r="A35" s="24" t="s">
        <v>245</v>
      </c>
      <c r="B35" s="25" t="s">
        <v>91</v>
      </c>
      <c r="C35" s="26">
        <v>390</v>
      </c>
      <c r="D35" s="25">
        <v>2.78</v>
      </c>
      <c r="E35" s="27">
        <v>0.29842006055518799</v>
      </c>
      <c r="I35" s="5">
        <f t="shared" si="0"/>
        <v>1.135847931235173</v>
      </c>
      <c r="J35" s="5">
        <f t="shared" si="1"/>
        <v>1.0395596620370524</v>
      </c>
      <c r="K35" s="65">
        <f t="shared" si="2"/>
        <v>2.7798122210384406</v>
      </c>
      <c r="L35" s="6">
        <f t="shared" si="3"/>
        <v>3.5260938404248857E-8</v>
      </c>
    </row>
    <row r="36" spans="1:12" ht="39.5" thickBot="1" x14ac:dyDescent="0.4">
      <c r="A36" s="24" t="s">
        <v>246</v>
      </c>
      <c r="B36" s="25" t="s">
        <v>74</v>
      </c>
      <c r="C36" s="26">
        <v>395</v>
      </c>
      <c r="D36" s="25">
        <v>3.32</v>
      </c>
      <c r="E36" s="27">
        <v>0.28976937734062008</v>
      </c>
      <c r="I36" s="5">
        <f t="shared" si="0"/>
        <v>1.0306736994321584</v>
      </c>
      <c r="J36" s="5">
        <f t="shared" si="1"/>
        <v>0.93717666120075727</v>
      </c>
      <c r="K36" s="65">
        <f t="shared" si="2"/>
        <v>3.319195235821951</v>
      </c>
      <c r="L36" s="6">
        <f t="shared" si="3"/>
        <v>6.4764538227066814E-7</v>
      </c>
    </row>
    <row r="37" spans="1:12" ht="39.5" thickBot="1" x14ac:dyDescent="0.4">
      <c r="A37" s="24" t="s">
        <v>247</v>
      </c>
      <c r="B37" s="25" t="s">
        <v>110</v>
      </c>
      <c r="C37" s="26">
        <v>398</v>
      </c>
      <c r="D37" s="25">
        <v>3.74</v>
      </c>
      <c r="E37" s="27">
        <v>0.28595201766158568</v>
      </c>
      <c r="I37" s="5">
        <f t="shared" si="0"/>
        <v>0.96118766243657794</v>
      </c>
      <c r="J37" s="5">
        <f t="shared" si="1"/>
        <v>0.86892233415026932</v>
      </c>
      <c r="K37" s="65">
        <f t="shared" si="2"/>
        <v>3.7394057379563463</v>
      </c>
      <c r="L37" s="6">
        <f t="shared" si="3"/>
        <v>3.5314737652767455E-7</v>
      </c>
    </row>
    <row r="38" spans="1:12" ht="39.5" thickBot="1" x14ac:dyDescent="0.4">
      <c r="A38" s="24" t="s">
        <v>248</v>
      </c>
      <c r="B38" s="25" t="s">
        <v>65</v>
      </c>
      <c r="C38" s="26">
        <v>400</v>
      </c>
      <c r="D38" s="25">
        <v>3.6</v>
      </c>
      <c r="E38" s="27">
        <v>0.27105573886410722</v>
      </c>
      <c r="I38" s="5">
        <f t="shared" si="0"/>
        <v>0.95175956020211394</v>
      </c>
      <c r="J38" s="5">
        <f t="shared" si="1"/>
        <v>0.86430066785122261</v>
      </c>
      <c r="K38" s="65">
        <f t="shared" si="2"/>
        <v>3.5999989933198862</v>
      </c>
      <c r="L38" s="6">
        <f t="shared" si="3"/>
        <v>1.0134048517926519E-12</v>
      </c>
    </row>
    <row r="39" spans="1:12" ht="39.5" thickBot="1" x14ac:dyDescent="0.4">
      <c r="A39" s="24" t="s">
        <v>249</v>
      </c>
      <c r="B39" s="25" t="s">
        <v>114</v>
      </c>
      <c r="C39" s="26">
        <v>402</v>
      </c>
      <c r="D39" s="25">
        <v>4.08</v>
      </c>
      <c r="E39" s="27">
        <v>0.27310253627234315</v>
      </c>
      <c r="I39" s="5">
        <f t="shared" si="0"/>
        <v>0.88868456855980305</v>
      </c>
      <c r="J39" s="5">
        <f t="shared" si="1"/>
        <v>0.80056525619736296</v>
      </c>
      <c r="K39" s="65">
        <f t="shared" si="2"/>
        <v>4.0799997380939033</v>
      </c>
      <c r="L39" s="6">
        <f t="shared" si="3"/>
        <v>6.8594803546298282E-14</v>
      </c>
    </row>
    <row r="40" spans="1:12" ht="39.5" thickBot="1" x14ac:dyDescent="0.4">
      <c r="A40" s="24" t="s">
        <v>250</v>
      </c>
      <c r="B40" s="25" t="s">
        <v>251</v>
      </c>
      <c r="C40" s="26">
        <v>403</v>
      </c>
      <c r="D40" s="25">
        <v>3.6</v>
      </c>
      <c r="E40" s="27">
        <v>0.25458644193431407</v>
      </c>
      <c r="I40" s="5">
        <f t="shared" si="0"/>
        <v>0.91688200185816537</v>
      </c>
      <c r="J40" s="5">
        <f t="shared" si="1"/>
        <v>0.8347370957497855</v>
      </c>
      <c r="K40" s="65">
        <f t="shared" si="2"/>
        <v>3.5999759833671021</v>
      </c>
      <c r="L40" s="6">
        <f t="shared" si="3"/>
        <v>5.7679865575594353E-10</v>
      </c>
    </row>
    <row r="41" spans="1:12" ht="39.5" thickBot="1" x14ac:dyDescent="0.4">
      <c r="A41" s="24" t="s">
        <v>252</v>
      </c>
      <c r="B41" s="25" t="s">
        <v>253</v>
      </c>
      <c r="C41" s="26">
        <v>404</v>
      </c>
      <c r="D41" s="25">
        <v>3.89</v>
      </c>
      <c r="E41" s="27">
        <v>0.25680721379484328</v>
      </c>
      <c r="I41" s="5">
        <f t="shared" si="0"/>
        <v>0.87975745686851725</v>
      </c>
      <c r="J41" s="5">
        <f t="shared" si="1"/>
        <v>0.79689599612122863</v>
      </c>
      <c r="K41" s="65">
        <f t="shared" si="2"/>
        <v>3.8899955862819695</v>
      </c>
      <c r="L41" s="6">
        <f t="shared" si="3"/>
        <v>1.9480906853783494E-11</v>
      </c>
    </row>
    <row r="42" spans="1:12" ht="39.5" thickBot="1" x14ac:dyDescent="0.4">
      <c r="A42" s="24" t="s">
        <v>254</v>
      </c>
      <c r="B42" s="25" t="s">
        <v>74</v>
      </c>
      <c r="C42" s="26">
        <v>405</v>
      </c>
      <c r="D42" s="25">
        <v>4.55</v>
      </c>
      <c r="E42" s="27">
        <v>0.2680610378979848</v>
      </c>
      <c r="I42" s="5">
        <f t="shared" si="0"/>
        <v>0.81779547751906478</v>
      </c>
      <c r="J42" s="5">
        <f t="shared" si="1"/>
        <v>0.73130285590834221</v>
      </c>
      <c r="K42" s="65">
        <f t="shared" si="2"/>
        <v>4.5502926936706558</v>
      </c>
      <c r="L42" s="6">
        <f t="shared" si="3"/>
        <v>8.566958484207464E-8</v>
      </c>
    </row>
    <row r="43" spans="1:12" ht="39.5" thickBot="1" x14ac:dyDescent="0.4">
      <c r="A43" s="24" t="s">
        <v>255</v>
      </c>
      <c r="B43" s="25" t="s">
        <v>256</v>
      </c>
      <c r="C43" s="26">
        <v>406</v>
      </c>
      <c r="D43" s="25">
        <v>4.1399999999999997</v>
      </c>
      <c r="E43" s="27">
        <v>0.25192996836522302</v>
      </c>
      <c r="I43" s="5">
        <f t="shared" si="0"/>
        <v>0.83444960875505025</v>
      </c>
      <c r="J43" s="5">
        <f t="shared" si="1"/>
        <v>0.7531618408754559</v>
      </c>
      <c r="K43" s="65">
        <f t="shared" si="2"/>
        <v>4.1399949083483136</v>
      </c>
      <c r="L43" s="6">
        <f t="shared" si="3"/>
        <v>2.5924916892066802E-11</v>
      </c>
    </row>
    <row r="44" spans="1:12" ht="39.5" thickBot="1" x14ac:dyDescent="0.4">
      <c r="A44" s="24" t="s">
        <v>257</v>
      </c>
      <c r="B44" s="25" t="s">
        <v>84</v>
      </c>
      <c r="C44" s="26">
        <v>408</v>
      </c>
      <c r="D44" s="25">
        <v>5.0599999999999996</v>
      </c>
      <c r="E44" s="27">
        <v>0.26270716891665175</v>
      </c>
      <c r="I44" s="5">
        <f t="shared" si="0"/>
        <v>0.74565138824320287</v>
      </c>
      <c r="J44" s="5">
        <f t="shared" si="1"/>
        <v>0.6608862469391561</v>
      </c>
      <c r="K44" s="65">
        <f t="shared" si="2"/>
        <v>5.0599612095387982</v>
      </c>
      <c r="L44" s="6">
        <f t="shared" si="3"/>
        <v>1.5046998802146534E-9</v>
      </c>
    </row>
    <row r="45" spans="1:12" ht="39.5" thickBot="1" x14ac:dyDescent="0.4">
      <c r="A45" s="24" t="s">
        <v>258</v>
      </c>
      <c r="B45" s="25" t="s">
        <v>96</v>
      </c>
      <c r="C45" s="26">
        <v>409</v>
      </c>
      <c r="D45" s="25">
        <v>4.95</v>
      </c>
      <c r="E45" s="27">
        <v>0.25408367503603763</v>
      </c>
      <c r="I45" s="5">
        <f t="shared" si="0"/>
        <v>0.73826906896139688</v>
      </c>
      <c r="J45" s="5">
        <f t="shared" si="1"/>
        <v>0.65628638570879649</v>
      </c>
      <c r="K45" s="65">
        <f t="shared" si="2"/>
        <v>4.9499996306205389</v>
      </c>
      <c r="L45" s="6">
        <f t="shared" si="3"/>
        <v>1.3644118638615302E-13</v>
      </c>
    </row>
    <row r="46" spans="1:12" ht="39.5" thickBot="1" x14ac:dyDescent="0.4">
      <c r="A46" s="24" t="s">
        <v>259</v>
      </c>
      <c r="B46" s="25" t="s">
        <v>164</v>
      </c>
      <c r="C46" s="26">
        <v>410</v>
      </c>
      <c r="D46" s="25">
        <v>5.23</v>
      </c>
      <c r="E46" s="27">
        <v>0.254517810310043</v>
      </c>
      <c r="I46" s="5">
        <f t="shared" si="0"/>
        <v>0.70741373491324178</v>
      </c>
      <c r="J46" s="5">
        <f t="shared" si="1"/>
        <v>0.62529097349681406</v>
      </c>
      <c r="K46" s="65">
        <f t="shared" si="2"/>
        <v>5.2294677688352778</v>
      </c>
      <c r="L46" s="6">
        <f t="shared" si="3"/>
        <v>2.8327001270205422E-7</v>
      </c>
    </row>
    <row r="47" spans="1:12" ht="39.5" thickBot="1" x14ac:dyDescent="0.4">
      <c r="A47" s="24" t="s">
        <v>260</v>
      </c>
      <c r="B47" s="25" t="s">
        <v>87</v>
      </c>
      <c r="C47" s="26">
        <v>411</v>
      </c>
      <c r="D47" s="25">
        <v>5.53</v>
      </c>
      <c r="E47" s="27">
        <v>0.25517126726050804</v>
      </c>
      <c r="I47" s="5">
        <f t="shared" si="0"/>
        <v>0.67622511242121019</v>
      </c>
      <c r="J47" s="5">
        <f t="shared" si="1"/>
        <v>0.59389150647027389</v>
      </c>
      <c r="K47" s="65">
        <f t="shared" si="2"/>
        <v>5.5292103573489584</v>
      </c>
      <c r="L47" s="6">
        <f t="shared" si="3"/>
        <v>6.235355163444267E-7</v>
      </c>
    </row>
    <row r="48" spans="1:12" ht="39.5" thickBot="1" x14ac:dyDescent="0.4">
      <c r="A48" s="24" t="s">
        <v>261</v>
      </c>
      <c r="B48" s="25" t="s">
        <v>262</v>
      </c>
      <c r="C48" s="26">
        <v>412</v>
      </c>
      <c r="D48" s="25">
        <v>4.92</v>
      </c>
      <c r="E48" s="27">
        <v>0.2351739941364962</v>
      </c>
      <c r="I48" s="5">
        <f t="shared" si="0"/>
        <v>0.69497363068127238</v>
      </c>
      <c r="J48" s="5">
        <f t="shared" si="1"/>
        <v>0.61909234839185856</v>
      </c>
      <c r="K48" s="65">
        <f t="shared" si="2"/>
        <v>4.9199939144947678</v>
      </c>
      <c r="L48" s="6">
        <f t="shared" si="3"/>
        <v>3.7033373930871097E-11</v>
      </c>
    </row>
    <row r="49" spans="1:12" ht="39.5" thickBot="1" x14ac:dyDescent="0.4">
      <c r="A49" s="24" t="s">
        <v>263</v>
      </c>
      <c r="B49" s="25" t="s">
        <v>121</v>
      </c>
      <c r="C49" s="26">
        <v>413</v>
      </c>
      <c r="D49" s="25">
        <v>5.66</v>
      </c>
      <c r="E49" s="27">
        <v>0.24552433979059846</v>
      </c>
      <c r="I49" s="5">
        <f t="shared" si="0"/>
        <v>0.63834446144437296</v>
      </c>
      <c r="J49" s="5">
        <f t="shared" si="1"/>
        <v>0.55912353480671506</v>
      </c>
      <c r="K49" s="65">
        <f t="shared" si="2"/>
        <v>5.6601370024824575</v>
      </c>
      <c r="L49" s="6">
        <f t="shared" si="3"/>
        <v>1.8769680199491439E-8</v>
      </c>
    </row>
    <row r="50" spans="1:12" ht="39.5" thickBot="1" x14ac:dyDescent="0.4">
      <c r="A50" s="24" t="s">
        <v>264</v>
      </c>
      <c r="B50" s="25" t="s">
        <v>84</v>
      </c>
      <c r="C50" s="26">
        <v>414</v>
      </c>
      <c r="D50" s="25">
        <v>6.21</v>
      </c>
      <c r="E50" s="27">
        <v>0.25103489158406683</v>
      </c>
      <c r="I50" s="5">
        <f t="shared" si="0"/>
        <v>0.59623353039305871</v>
      </c>
      <c r="J50" s="5">
        <f t="shared" si="1"/>
        <v>0.51523456814501811</v>
      </c>
      <c r="K50" s="65">
        <f t="shared" si="2"/>
        <v>6.2096690135008572</v>
      </c>
      <c r="L50" s="6">
        <f t="shared" si="3"/>
        <v>1.0955206261478042E-7</v>
      </c>
    </row>
    <row r="51" spans="1:12" ht="39.5" thickBot="1" x14ac:dyDescent="0.4">
      <c r="A51" s="24" t="s">
        <v>265</v>
      </c>
      <c r="B51" s="25" t="s">
        <v>224</v>
      </c>
      <c r="C51" s="26">
        <v>415</v>
      </c>
      <c r="D51" s="25">
        <v>6.33</v>
      </c>
      <c r="E51" s="27">
        <v>0.24704691621818833</v>
      </c>
      <c r="I51" s="5">
        <f t="shared" si="0"/>
        <v>0.57429542260378674</v>
      </c>
      <c r="J51" s="5">
        <f t="shared" si="1"/>
        <v>0.4945832211883483</v>
      </c>
      <c r="K51" s="65">
        <f t="shared" si="2"/>
        <v>6.3291518422598898</v>
      </c>
      <c r="L51" s="6">
        <f t="shared" si="3"/>
        <v>7.193715521089551E-7</v>
      </c>
    </row>
    <row r="52" spans="1:12" ht="39.5" thickBot="1" x14ac:dyDescent="0.4">
      <c r="A52" s="24" t="s">
        <v>266</v>
      </c>
      <c r="B52" s="25" t="s">
        <v>87</v>
      </c>
      <c r="C52" s="26">
        <v>416</v>
      </c>
      <c r="D52" s="25">
        <v>6.46</v>
      </c>
      <c r="E52" s="27">
        <v>0.24319562455164387</v>
      </c>
      <c r="I52" s="5">
        <f t="shared" si="0"/>
        <v>0.55146656639231795</v>
      </c>
      <c r="J52" s="5">
        <f t="shared" si="1"/>
        <v>0.47299702342302691</v>
      </c>
      <c r="K52" s="65">
        <f t="shared" si="2"/>
        <v>6.4601704049448188</v>
      </c>
      <c r="L52" s="6">
        <f t="shared" si="3"/>
        <v>2.9037845218695425E-8</v>
      </c>
    </row>
    <row r="53" spans="1:12" ht="39.5" thickBot="1" x14ac:dyDescent="0.4">
      <c r="A53" s="24" t="s">
        <v>267</v>
      </c>
      <c r="B53" s="25" t="s">
        <v>96</v>
      </c>
      <c r="C53" s="26">
        <v>417</v>
      </c>
      <c r="D53" s="25">
        <v>6.36</v>
      </c>
      <c r="E53" s="27">
        <v>0.2344518015973065</v>
      </c>
      <c r="I53" s="5">
        <f t="shared" si="0"/>
        <v>0.53742099483059769</v>
      </c>
      <c r="J53" s="5">
        <f t="shared" si="1"/>
        <v>0.4617727353128333</v>
      </c>
      <c r="K53" s="65">
        <f t="shared" si="2"/>
        <v>6.3599999487560268</v>
      </c>
      <c r="L53" s="6">
        <f t="shared" si="3"/>
        <v>2.6259448209884547E-15</v>
      </c>
    </row>
    <row r="54" spans="1:12" ht="39.5" thickBot="1" x14ac:dyDescent="0.4">
      <c r="A54" s="24" t="s">
        <v>268</v>
      </c>
      <c r="B54" s="25" t="s">
        <v>256</v>
      </c>
      <c r="C54" s="26">
        <v>417.5</v>
      </c>
      <c r="D54" s="25">
        <v>5.94</v>
      </c>
      <c r="E54" s="27">
        <v>0.22240418384861957</v>
      </c>
      <c r="I54" s="5">
        <f t="shared" si="0"/>
        <v>0.54584167088945212</v>
      </c>
      <c r="J54" s="5">
        <f t="shared" si="1"/>
        <v>0.4740806978323347</v>
      </c>
      <c r="K54" s="65">
        <f t="shared" si="2"/>
        <v>5.9399993342606479</v>
      </c>
      <c r="L54" s="6">
        <f t="shared" si="3"/>
        <v>4.4320888551298151E-13</v>
      </c>
    </row>
    <row r="55" spans="1:12" ht="39.5" thickBot="1" x14ac:dyDescent="0.4">
      <c r="A55" s="24" t="s">
        <v>269</v>
      </c>
      <c r="B55" s="25" t="s">
        <v>270</v>
      </c>
      <c r="C55" s="26">
        <v>418</v>
      </c>
      <c r="D55" s="25">
        <v>6.03</v>
      </c>
      <c r="E55" s="27">
        <v>0.22095141925460443</v>
      </c>
      <c r="I55" s="5">
        <f t="shared" si="0"/>
        <v>0.53217182958239873</v>
      </c>
      <c r="J55" s="5">
        <f t="shared" si="1"/>
        <v>0.46087960580456833</v>
      </c>
      <c r="K55" s="65">
        <f t="shared" si="2"/>
        <v>6.0299992049320963</v>
      </c>
      <c r="L55" s="6">
        <f t="shared" si="3"/>
        <v>6.321329719043476E-13</v>
      </c>
    </row>
    <row r="56" spans="1:12" ht="39.5" thickBot="1" x14ac:dyDescent="0.4">
      <c r="A56" s="24" t="s">
        <v>271</v>
      </c>
      <c r="B56" s="25" t="s">
        <v>84</v>
      </c>
      <c r="C56" s="26">
        <v>419</v>
      </c>
      <c r="D56" s="25">
        <v>7.22</v>
      </c>
      <c r="E56" s="27">
        <v>0.23831084643828876</v>
      </c>
      <c r="I56" s="5">
        <f t="shared" si="0"/>
        <v>0.4677283746005656</v>
      </c>
      <c r="J56" s="5">
        <f t="shared" si="1"/>
        <v>0.39083495499602683</v>
      </c>
      <c r="K56" s="65">
        <f t="shared" si="2"/>
        <v>7.2196649098763146</v>
      </c>
      <c r="L56" s="6">
        <f t="shared" si="3"/>
        <v>1.1228539099133285E-7</v>
      </c>
    </row>
    <row r="57" spans="1:12" ht="39.5" thickBot="1" x14ac:dyDescent="0.4">
      <c r="A57" s="24" t="s">
        <v>272</v>
      </c>
      <c r="B57" s="25" t="s">
        <v>224</v>
      </c>
      <c r="C57" s="26">
        <v>420</v>
      </c>
      <c r="D57" s="25">
        <v>7.35</v>
      </c>
      <c r="E57" s="27">
        <v>0.23388055524552545</v>
      </c>
      <c r="I57" s="5">
        <f t="shared" si="0"/>
        <v>0.44355683722700046</v>
      </c>
      <c r="J57" s="5">
        <f t="shared" si="1"/>
        <v>0.36809289615752139</v>
      </c>
      <c r="K57" s="65">
        <f t="shared" si="2"/>
        <v>7.3492049508369917</v>
      </c>
      <c r="L57" s="6">
        <f t="shared" si="3"/>
        <v>6.3210317159970241E-7</v>
      </c>
    </row>
    <row r="58" spans="1:12" ht="39.5" thickBot="1" x14ac:dyDescent="0.4">
      <c r="A58" s="24" t="s">
        <v>273</v>
      </c>
      <c r="B58" s="25" t="s">
        <v>114</v>
      </c>
      <c r="C58" s="26">
        <v>421</v>
      </c>
      <c r="D58" s="25">
        <v>7.33</v>
      </c>
      <c r="E58" s="27">
        <v>0.22642086131747882</v>
      </c>
      <c r="I58" s="5">
        <f t="shared" si="0"/>
        <v>0.42317212347006417</v>
      </c>
      <c r="J58" s="5">
        <f t="shared" si="1"/>
        <v>0.35011512855475124</v>
      </c>
      <c r="K58" s="65">
        <f t="shared" si="2"/>
        <v>7.3303823215365753</v>
      </c>
      <c r="L58" s="6">
        <f t="shared" si="3"/>
        <v>1.4616975732925829E-7</v>
      </c>
    </row>
    <row r="59" spans="1:12" ht="39.5" thickBot="1" x14ac:dyDescent="0.4">
      <c r="A59" s="24" t="s">
        <v>274</v>
      </c>
      <c r="B59" s="25" t="s">
        <v>275</v>
      </c>
      <c r="C59" s="26">
        <v>422</v>
      </c>
      <c r="D59" s="25">
        <v>7.44</v>
      </c>
      <c r="E59" s="27">
        <v>0.22136887885408285</v>
      </c>
      <c r="I59" s="5">
        <f t="shared" si="0"/>
        <v>0.39796540394607377</v>
      </c>
      <c r="J59" s="5">
        <f t="shared" si="1"/>
        <v>0.32653848258049023</v>
      </c>
      <c r="K59" s="65">
        <f t="shared" si="2"/>
        <v>7.4390629600224258</v>
      </c>
      <c r="L59" s="6">
        <f t="shared" si="3"/>
        <v>8.7804391957291262E-7</v>
      </c>
    </row>
    <row r="60" spans="1:12" ht="39.5" thickBot="1" x14ac:dyDescent="0.4">
      <c r="A60" s="24" t="s">
        <v>276</v>
      </c>
      <c r="B60" s="25" t="s">
        <v>270</v>
      </c>
      <c r="C60" s="26">
        <v>422.5</v>
      </c>
      <c r="D60" s="25">
        <v>6.94</v>
      </c>
      <c r="E60" s="27">
        <v>0.20807161786144918</v>
      </c>
      <c r="I60" s="5">
        <f t="shared" si="0"/>
        <v>0.40133292998233561</v>
      </c>
      <c r="J60" s="5">
        <f t="shared" si="1"/>
        <v>0.33419650518616617</v>
      </c>
      <c r="K60" s="65">
        <f t="shared" si="2"/>
        <v>6.939999801472112</v>
      </c>
      <c r="L60" s="6">
        <f t="shared" si="3"/>
        <v>3.9413322453088162E-14</v>
      </c>
    </row>
    <row r="61" spans="1:12" ht="39.5" thickBot="1" x14ac:dyDescent="0.4">
      <c r="A61" s="24" t="s">
        <v>277</v>
      </c>
      <c r="B61" s="25" t="s">
        <v>278</v>
      </c>
      <c r="C61" s="26">
        <v>423</v>
      </c>
      <c r="D61" s="25">
        <v>7.52</v>
      </c>
      <c r="E61" s="27">
        <v>0.21565942822608508</v>
      </c>
      <c r="I61" s="5">
        <f t="shared" si="0"/>
        <v>0.37262054099103314</v>
      </c>
      <c r="J61" s="5">
        <f t="shared" si="1"/>
        <v>0.30303583196874601</v>
      </c>
      <c r="K61" s="65">
        <f t="shared" si="2"/>
        <v>7.5199999533499522</v>
      </c>
      <c r="L61" s="6">
        <f t="shared" si="3"/>
        <v>2.1762269206104403E-15</v>
      </c>
    </row>
    <row r="62" spans="1:12" ht="39.5" thickBot="1" x14ac:dyDescent="0.4">
      <c r="A62" s="24" t="s">
        <v>279</v>
      </c>
      <c r="B62" s="25" t="s">
        <v>275</v>
      </c>
      <c r="C62" s="26">
        <v>424</v>
      </c>
      <c r="D62" s="25">
        <v>7.9</v>
      </c>
      <c r="E62" s="27">
        <v>0.21550613974913621</v>
      </c>
      <c r="I62" s="5">
        <f t="shared" si="0"/>
        <v>0.33887813235851633</v>
      </c>
      <c r="J62" s="5">
        <f t="shared" si="1"/>
        <v>0.26934288342314816</v>
      </c>
      <c r="K62" s="65">
        <f t="shared" si="2"/>
        <v>7.8993361575981567</v>
      </c>
      <c r="L62" s="6">
        <f t="shared" si="3"/>
        <v>4.4068673448560586E-7</v>
      </c>
    </row>
    <row r="63" spans="1:12" ht="39.5" thickBot="1" x14ac:dyDescent="0.4">
      <c r="A63" s="24" t="s">
        <v>280</v>
      </c>
      <c r="B63" s="25" t="s">
        <v>76</v>
      </c>
      <c r="C63" s="26">
        <v>425</v>
      </c>
      <c r="D63" s="25">
        <v>8.33</v>
      </c>
      <c r="E63" s="27">
        <v>0.21606312310356093</v>
      </c>
      <c r="I63" s="5">
        <f t="shared" si="0"/>
        <v>0.30439338646715397</v>
      </c>
      <c r="J63" s="5">
        <f t="shared" si="1"/>
        <v>0.23467842118473481</v>
      </c>
      <c r="K63" s="65">
        <f t="shared" si="2"/>
        <v>8.3293305530097825</v>
      </c>
      <c r="L63" s="6">
        <f t="shared" si="3"/>
        <v>4.4815927271131917E-7</v>
      </c>
    </row>
    <row r="64" spans="1:12" ht="39.5" thickBot="1" x14ac:dyDescent="0.4">
      <c r="A64" s="24" t="s">
        <v>281</v>
      </c>
      <c r="B64" s="25" t="s">
        <v>282</v>
      </c>
      <c r="C64" s="26">
        <v>426</v>
      </c>
      <c r="D64" s="25">
        <v>7.94</v>
      </c>
      <c r="E64" s="27">
        <v>0.20108781260199662</v>
      </c>
      <c r="I64" s="5">
        <f t="shared" si="0"/>
        <v>0.28582840309160645</v>
      </c>
      <c r="J64" s="5">
        <f t="shared" si="1"/>
        <v>0.22094537412813794</v>
      </c>
      <c r="K64" s="65">
        <f t="shared" si="2"/>
        <v>7.9399999837837925</v>
      </c>
      <c r="L64" s="6">
        <f t="shared" si="3"/>
        <v>2.6296539969445253E-16</v>
      </c>
    </row>
    <row r="65" spans="1:12" ht="39.5" thickBot="1" x14ac:dyDescent="0.4">
      <c r="A65" s="24" t="s">
        <v>283</v>
      </c>
      <c r="B65" s="25" t="s">
        <v>110</v>
      </c>
      <c r="C65" s="26">
        <v>427</v>
      </c>
      <c r="D65" s="25">
        <v>9.26</v>
      </c>
      <c r="E65" s="27">
        <v>0.2177217304692631</v>
      </c>
      <c r="I65" s="5">
        <f t="shared" si="0"/>
        <v>0.23577724274018461</v>
      </c>
      <c r="J65" s="5">
        <f t="shared" si="1"/>
        <v>0.16552711091358072</v>
      </c>
      <c r="K65" s="65">
        <f t="shared" si="2"/>
        <v>9.2599462799972798</v>
      </c>
      <c r="L65" s="6">
        <f t="shared" si="3"/>
        <v>2.8858386922336099E-9</v>
      </c>
    </row>
    <row r="66" spans="1:12" ht="39.5" thickBot="1" x14ac:dyDescent="0.4">
      <c r="A66" s="24" t="s">
        <v>284</v>
      </c>
      <c r="B66" s="25" t="s">
        <v>285</v>
      </c>
      <c r="C66" s="26">
        <v>427.5</v>
      </c>
      <c r="D66" s="25">
        <v>8.6</v>
      </c>
      <c r="E66" s="27">
        <v>0.20153803856550456</v>
      </c>
      <c r="I66" s="5">
        <f t="shared" si="0"/>
        <v>0.23128248470085391</v>
      </c>
      <c r="J66" s="5">
        <f t="shared" si="1"/>
        <v>0.16625418574885453</v>
      </c>
      <c r="K66" s="65">
        <f t="shared" si="2"/>
        <v>8.5991450959758993</v>
      </c>
      <c r="L66" s="6">
        <f t="shared" si="3"/>
        <v>7.3086089042301976E-7</v>
      </c>
    </row>
    <row r="67" spans="1:12" ht="39.5" thickBot="1" x14ac:dyDescent="0.4">
      <c r="A67" s="24" t="s">
        <v>286</v>
      </c>
      <c r="B67" s="25" t="s">
        <v>110</v>
      </c>
      <c r="C67" s="26">
        <v>428</v>
      </c>
      <c r="D67" s="25">
        <v>9.5299999999999994</v>
      </c>
      <c r="E67" s="27">
        <v>0.21459345959964457</v>
      </c>
      <c r="I67" s="5">
        <f t="shared" si="0"/>
        <v>0.20441428551036925</v>
      </c>
      <c r="J67" s="5">
        <f t="shared" si="1"/>
        <v>0.13517352211247646</v>
      </c>
      <c r="K67" s="65">
        <f t="shared" si="2"/>
        <v>9.5299517726398904</v>
      </c>
      <c r="L67" s="6">
        <f t="shared" si="3"/>
        <v>2.3258782630841255E-9</v>
      </c>
    </row>
    <row r="68" spans="1:12" ht="39.5" thickBot="1" x14ac:dyDescent="0.4">
      <c r="A68" s="24" t="s">
        <v>287</v>
      </c>
      <c r="B68" s="25" t="s">
        <v>288</v>
      </c>
      <c r="C68" s="26">
        <v>429</v>
      </c>
      <c r="D68" s="25">
        <v>9.2100000000000009</v>
      </c>
      <c r="E68" s="27">
        <v>0.2005006918799849</v>
      </c>
      <c r="I68" s="5">
        <f t="shared" ref="I68:I116" si="4">(LN($M$2/C68)+($O$2-$P$2+0.5*E68^2)*$N$2)/(E68*SQRT($N$2))</f>
        <v>0.1780016635163752</v>
      </c>
      <c r="J68" s="5">
        <f t="shared" ref="J68:J116" si="5">I68-E68*SQRT($N$2)</f>
        <v>0.11330807502828118</v>
      </c>
      <c r="K68" s="65">
        <f t="shared" ref="K68:K116" si="6" xml:space="preserve"> C68*M$5*_xlfn.NORM.S.DIST(-J68,TRUE) - $N$5*_xlfn.NORM.S.DIST(-I68,TRUE)</f>
        <v>9.209114576567714</v>
      </c>
      <c r="L68" s="6">
        <f t="shared" ref="L68:L116" si="7">(D68-K68)^2</f>
        <v>7.839746544425619E-7</v>
      </c>
    </row>
    <row r="69" spans="1:12" ht="39.5" thickBot="1" x14ac:dyDescent="0.4">
      <c r="A69" s="24" t="s">
        <v>289</v>
      </c>
      <c r="B69" s="25" t="s">
        <v>224</v>
      </c>
      <c r="C69" s="26">
        <v>430</v>
      </c>
      <c r="D69" s="25">
        <v>10.02</v>
      </c>
      <c r="E69" s="27">
        <v>0.20681918537461574</v>
      </c>
      <c r="I69" s="5">
        <f t="shared" si="4"/>
        <v>0.13968116298976038</v>
      </c>
      <c r="J69" s="5">
        <f t="shared" si="5"/>
        <v>7.2948848279958248E-2</v>
      </c>
      <c r="K69" s="65">
        <f t="shared" si="6"/>
        <v>10.019866699210155</v>
      </c>
      <c r="L69" s="6">
        <f t="shared" si="7"/>
        <v>1.7769100573174481E-8</v>
      </c>
    </row>
    <row r="70" spans="1:12" ht="39.5" thickBot="1" x14ac:dyDescent="0.4">
      <c r="A70" s="24" t="s">
        <v>290</v>
      </c>
      <c r="B70" s="25" t="s">
        <v>291</v>
      </c>
      <c r="C70" s="26">
        <v>431</v>
      </c>
      <c r="D70" s="25">
        <v>9.5</v>
      </c>
      <c r="E70" s="27">
        <v>0.18881016333325423</v>
      </c>
      <c r="I70" s="5">
        <f t="shared" si="4"/>
        <v>0.10878718676519437</v>
      </c>
      <c r="J70" s="5">
        <f t="shared" si="5"/>
        <v>4.786566627307124E-2</v>
      </c>
      <c r="K70" s="65">
        <f t="shared" si="6"/>
        <v>9.4995355177630358</v>
      </c>
      <c r="L70" s="6">
        <f t="shared" si="7"/>
        <v>2.1574374845522898E-7</v>
      </c>
    </row>
    <row r="71" spans="1:12" ht="39.5" thickBot="1" x14ac:dyDescent="0.4">
      <c r="A71" s="24" t="s">
        <v>292</v>
      </c>
      <c r="B71" s="25" t="s">
        <v>127</v>
      </c>
      <c r="C71" s="26">
        <v>432</v>
      </c>
      <c r="D71" s="25">
        <v>9.73</v>
      </c>
      <c r="E71" s="27">
        <v>0.18416837452970544</v>
      </c>
      <c r="I71" s="5">
        <f t="shared" si="4"/>
        <v>7.1012975608253259E-2</v>
      </c>
      <c r="J71" s="5">
        <f t="shared" si="5"/>
        <v>1.1589175507465119E-2</v>
      </c>
      <c r="K71" s="65">
        <f t="shared" si="6"/>
        <v>9.7299166230056358</v>
      </c>
      <c r="L71" s="6">
        <f t="shared" si="7"/>
        <v>6.9517231892862221E-9</v>
      </c>
    </row>
    <row r="72" spans="1:12" ht="39.5" thickBot="1" x14ac:dyDescent="0.4">
      <c r="A72" s="24" t="s">
        <v>293</v>
      </c>
      <c r="B72" s="25" t="s">
        <v>294</v>
      </c>
      <c r="C72" s="26">
        <v>432.5</v>
      </c>
      <c r="D72" s="25">
        <v>9.5</v>
      </c>
      <c r="E72" s="27">
        <v>0.17555459104900928</v>
      </c>
      <c r="I72" s="5">
        <f t="shared" si="4"/>
        <v>5.1228773948684102E-2</v>
      </c>
      <c r="J72" s="5">
        <f t="shared" si="5"/>
        <v>-5.415701260002119E-3</v>
      </c>
      <c r="K72" s="65">
        <f t="shared" si="6"/>
        <v>9.5000152883015687</v>
      </c>
      <c r="L72" s="6">
        <f t="shared" si="7"/>
        <v>2.3373216485602348E-10</v>
      </c>
    </row>
    <row r="73" spans="1:12" ht="39.5" thickBot="1" x14ac:dyDescent="0.4">
      <c r="A73" s="24" t="s">
        <v>295</v>
      </c>
      <c r="B73" s="25" t="s">
        <v>76</v>
      </c>
      <c r="C73" s="26">
        <v>433</v>
      </c>
      <c r="D73" s="25">
        <v>10.57</v>
      </c>
      <c r="E73" s="27">
        <v>0.19021707652674627</v>
      </c>
      <c r="I73" s="5">
        <f t="shared" si="4"/>
        <v>3.3003436229196166E-2</v>
      </c>
      <c r="J73" s="5">
        <f t="shared" si="5"/>
        <v>-2.8372039121260954E-2</v>
      </c>
      <c r="K73" s="65">
        <f t="shared" si="6"/>
        <v>10.570027869722651</v>
      </c>
      <c r="L73" s="6">
        <f t="shared" si="7"/>
        <v>7.7672144061937122E-10</v>
      </c>
    </row>
    <row r="74" spans="1:12" ht="39.5" thickBot="1" x14ac:dyDescent="0.4">
      <c r="A74" s="20" t="s">
        <v>296</v>
      </c>
      <c r="B74" s="21" t="s">
        <v>68</v>
      </c>
      <c r="C74" s="22">
        <v>434</v>
      </c>
      <c r="D74" s="21">
        <v>11.26</v>
      </c>
      <c r="E74" s="23">
        <v>0.19328794200315408</v>
      </c>
      <c r="I74" s="5">
        <f t="shared" si="4"/>
        <v>-3.5259411587367198E-3</v>
      </c>
      <c r="J74" s="5">
        <f t="shared" si="5"/>
        <v>-6.5892262503640275E-2</v>
      </c>
      <c r="K74" s="65">
        <f t="shared" si="6"/>
        <v>11.259993534013432</v>
      </c>
      <c r="L74" s="6">
        <f t="shared" si="7"/>
        <v>4.1808982291160405E-11</v>
      </c>
    </row>
    <row r="75" spans="1:12" ht="39.5" thickBot="1" x14ac:dyDescent="0.4">
      <c r="A75" s="20" t="s">
        <v>297</v>
      </c>
      <c r="B75" s="21" t="s">
        <v>84</v>
      </c>
      <c r="C75" s="22">
        <v>435</v>
      </c>
      <c r="D75" s="21">
        <v>11.84</v>
      </c>
      <c r="E75" s="23">
        <v>0.19412107278678509</v>
      </c>
      <c r="I75" s="5">
        <f t="shared" si="4"/>
        <v>-3.9987068914596011E-2</v>
      </c>
      <c r="J75" s="5">
        <f t="shared" si="5"/>
        <v>-0.10262220838460234</v>
      </c>
      <c r="K75" s="65">
        <f t="shared" si="6"/>
        <v>11.839983965133797</v>
      </c>
      <c r="L75" s="6">
        <f t="shared" si="7"/>
        <v>2.5711693414265302E-10</v>
      </c>
    </row>
    <row r="76" spans="1:12" ht="39.5" thickBot="1" x14ac:dyDescent="0.4">
      <c r="A76" s="20" t="s">
        <v>298</v>
      </c>
      <c r="B76" s="21" t="s">
        <v>124</v>
      </c>
      <c r="C76" s="22">
        <v>436</v>
      </c>
      <c r="D76" s="21">
        <v>11.55</v>
      </c>
      <c r="E76" s="23">
        <v>0.17902071295747332</v>
      </c>
      <c r="I76" s="5">
        <f t="shared" si="4"/>
        <v>-8.819014538048571E-2</v>
      </c>
      <c r="J76" s="5">
        <f t="shared" si="5"/>
        <v>-0.14595300009346793</v>
      </c>
      <c r="K76" s="65">
        <f t="shared" si="6"/>
        <v>11.549214150033066</v>
      </c>
      <c r="L76" s="6">
        <f t="shared" si="7"/>
        <v>6.175601705311883E-7</v>
      </c>
    </row>
    <row r="77" spans="1:12" ht="39.5" thickBot="1" x14ac:dyDescent="0.4">
      <c r="A77" s="20" t="s">
        <v>299</v>
      </c>
      <c r="B77" s="21" t="s">
        <v>78</v>
      </c>
      <c r="C77" s="22">
        <v>437</v>
      </c>
      <c r="D77" s="21">
        <v>11.64</v>
      </c>
      <c r="E77" s="23">
        <v>0.17040765115537371</v>
      </c>
      <c r="I77" s="5">
        <f t="shared" si="4"/>
        <v>-0.13716291041534004</v>
      </c>
      <c r="J77" s="5">
        <f t="shared" si="5"/>
        <v>-0.19214667309316313</v>
      </c>
      <c r="K77" s="65">
        <f t="shared" si="6"/>
        <v>11.639105609192455</v>
      </c>
      <c r="L77" s="6">
        <f t="shared" si="7"/>
        <v>7.9993491662129156E-7</v>
      </c>
    </row>
    <row r="78" spans="1:12" ht="39.5" thickBot="1" x14ac:dyDescent="0.4">
      <c r="A78" s="20" t="s">
        <v>300</v>
      </c>
      <c r="B78" s="21" t="s">
        <v>78</v>
      </c>
      <c r="C78" s="22">
        <v>437.5</v>
      </c>
      <c r="D78" s="21">
        <v>11.85</v>
      </c>
      <c r="E78" s="23">
        <v>0.16896824206532574</v>
      </c>
      <c r="I78" s="5">
        <f t="shared" si="4"/>
        <v>-0.1597722053954177</v>
      </c>
      <c r="J78" s="5">
        <f t="shared" si="5"/>
        <v>-0.21429152808321161</v>
      </c>
      <c r="K78" s="65">
        <f t="shared" si="6"/>
        <v>11.849990372010268</v>
      </c>
      <c r="L78" s="6">
        <f t="shared" si="7"/>
        <v>9.2698186273673262E-11</v>
      </c>
    </row>
    <row r="79" spans="1:12" ht="52.5" thickBot="1" x14ac:dyDescent="0.4">
      <c r="A79" s="20" t="s">
        <v>301</v>
      </c>
      <c r="B79" s="21" t="s">
        <v>302</v>
      </c>
      <c r="C79" s="22">
        <v>438</v>
      </c>
      <c r="D79" s="21">
        <v>11.13</v>
      </c>
      <c r="E79" s="23">
        <v>0.15042049939140542</v>
      </c>
      <c r="I79" s="5">
        <f t="shared" si="4"/>
        <v>-0.20936042647131353</v>
      </c>
      <c r="J79" s="5">
        <f t="shared" si="5"/>
        <v>-0.25789513124742514</v>
      </c>
      <c r="K79" s="65">
        <f t="shared" si="6"/>
        <v>11.129953380578769</v>
      </c>
      <c r="L79" s="6">
        <f t="shared" si="7"/>
        <v>2.1733704359929181E-9</v>
      </c>
    </row>
    <row r="80" spans="1:12" ht="39.5" thickBot="1" x14ac:dyDescent="0.4">
      <c r="A80" s="20" t="s">
        <v>303</v>
      </c>
      <c r="B80" s="21" t="s">
        <v>304</v>
      </c>
      <c r="C80" s="22">
        <v>439</v>
      </c>
      <c r="D80" s="21">
        <v>11.85</v>
      </c>
      <c r="E80" s="23">
        <v>0.1524454223922298</v>
      </c>
      <c r="I80" s="5">
        <f t="shared" si="4"/>
        <v>-0.25229340826961127</v>
      </c>
      <c r="J80" s="5">
        <f t="shared" si="5"/>
        <v>-0.30148147505713085</v>
      </c>
      <c r="K80" s="65">
        <f t="shared" si="6"/>
        <v>11.849997951186936</v>
      </c>
      <c r="L80" s="6">
        <f t="shared" si="7"/>
        <v>4.1976349715972017E-12</v>
      </c>
    </row>
    <row r="81" spans="1:12" ht="39.5" thickBot="1" x14ac:dyDescent="0.4">
      <c r="A81" s="20" t="s">
        <v>305</v>
      </c>
      <c r="B81" s="21" t="s">
        <v>110</v>
      </c>
      <c r="C81" s="22">
        <v>440</v>
      </c>
      <c r="D81" s="21">
        <v>13.86</v>
      </c>
      <c r="E81" s="23">
        <v>0.17817414584084312</v>
      </c>
      <c r="I81" s="5">
        <f t="shared" si="4"/>
        <v>-0.2477372231093958</v>
      </c>
      <c r="J81" s="5">
        <f t="shared" si="5"/>
        <v>-0.3052269243277077</v>
      </c>
      <c r="K81" s="65">
        <f t="shared" si="6"/>
        <v>13.859215459090251</v>
      </c>
      <c r="L81" s="6">
        <f t="shared" si="7"/>
        <v>6.1550443906891532E-7</v>
      </c>
    </row>
    <row r="82" spans="1:12" ht="39.5" thickBot="1" x14ac:dyDescent="0.4">
      <c r="A82" s="20" t="s">
        <v>306</v>
      </c>
      <c r="B82" s="21" t="s">
        <v>110</v>
      </c>
      <c r="C82" s="22">
        <v>441</v>
      </c>
      <c r="D82" s="21">
        <v>14.31</v>
      </c>
      <c r="E82" s="23">
        <v>0.17486692183500402</v>
      </c>
      <c r="I82" s="5">
        <f t="shared" si="4"/>
        <v>-0.29373457341620057</v>
      </c>
      <c r="J82" s="5">
        <f t="shared" si="5"/>
        <v>-0.35015716515541018</v>
      </c>
      <c r="K82" s="65">
        <f t="shared" si="6"/>
        <v>14.309844726852532</v>
      </c>
      <c r="L82" s="6">
        <f t="shared" si="7"/>
        <v>2.410975032478967E-8</v>
      </c>
    </row>
    <row r="83" spans="1:12" ht="39.5" thickBot="1" x14ac:dyDescent="0.4">
      <c r="A83" s="20" t="s">
        <v>307</v>
      </c>
      <c r="B83" s="21" t="s">
        <v>253</v>
      </c>
      <c r="C83" s="22">
        <v>442</v>
      </c>
      <c r="D83" s="21">
        <v>12.95</v>
      </c>
      <c r="E83" s="23">
        <v>0.1361399137662396</v>
      </c>
      <c r="I83" s="5">
        <f t="shared" si="4"/>
        <v>-0.44312771488490399</v>
      </c>
      <c r="J83" s="5">
        <f t="shared" si="5"/>
        <v>-0.48705464339280963</v>
      </c>
      <c r="K83" s="65">
        <f t="shared" si="6"/>
        <v>12.949902755435801</v>
      </c>
      <c r="L83" s="6">
        <f t="shared" si="7"/>
        <v>9.4565052661488091E-9</v>
      </c>
    </row>
    <row r="84" spans="1:12" ht="39.5" thickBot="1" x14ac:dyDescent="0.4">
      <c r="A84" s="20" t="s">
        <v>308</v>
      </c>
      <c r="B84" s="21" t="s">
        <v>239</v>
      </c>
      <c r="C84" s="22">
        <v>442.5</v>
      </c>
      <c r="D84" s="21">
        <v>14.26</v>
      </c>
      <c r="E84" s="23">
        <v>0.15516782491236883</v>
      </c>
      <c r="I84" s="5">
        <f t="shared" si="4"/>
        <v>-0.40560638976375446</v>
      </c>
      <c r="J84" s="5">
        <f t="shared" si="5"/>
        <v>-0.45567286742699437</v>
      </c>
      <c r="K84" s="65">
        <f t="shared" si="6"/>
        <v>14.259999493018654</v>
      </c>
      <c r="L84" s="6">
        <f t="shared" si="7"/>
        <v>2.5703008498272371E-13</v>
      </c>
    </row>
    <row r="85" spans="1:12" ht="52.5" thickBot="1" x14ac:dyDescent="0.4">
      <c r="A85" s="20" t="s">
        <v>309</v>
      </c>
      <c r="B85" s="21" t="s">
        <v>310</v>
      </c>
      <c r="C85" s="22">
        <v>443</v>
      </c>
      <c r="D85" s="21">
        <v>12.85</v>
      </c>
      <c r="E85" s="23">
        <v>0.11970353621978155</v>
      </c>
      <c r="I85" s="5">
        <f t="shared" si="4"/>
        <v>-0.56815122165279219</v>
      </c>
      <c r="J85" s="5">
        <f t="shared" si="5"/>
        <v>-0.60677478569220022</v>
      </c>
      <c r="K85" s="65">
        <f t="shared" si="6"/>
        <v>12.849713594580578</v>
      </c>
      <c r="L85" s="6">
        <f t="shared" si="7"/>
        <v>8.2028064274061539E-8</v>
      </c>
    </row>
    <row r="86" spans="1:12" ht="39.5" thickBot="1" x14ac:dyDescent="0.4">
      <c r="A86" s="20" t="s">
        <v>311</v>
      </c>
      <c r="B86" s="21" t="s">
        <v>110</v>
      </c>
      <c r="C86" s="22">
        <v>444</v>
      </c>
      <c r="D86" s="21">
        <v>15.72</v>
      </c>
      <c r="E86" s="23">
        <v>0.16371920256772499</v>
      </c>
      <c r="I86" s="5">
        <f t="shared" si="4"/>
        <v>-0.44579525976255868</v>
      </c>
      <c r="J86" s="5">
        <f t="shared" si="5"/>
        <v>-0.49862092644332595</v>
      </c>
      <c r="K86" s="65">
        <f t="shared" si="6"/>
        <v>15.720489010669837</v>
      </c>
      <c r="L86" s="6">
        <f t="shared" si="7"/>
        <v>2.3913143521397324E-7</v>
      </c>
    </row>
    <row r="87" spans="1:12" ht="39.5" thickBot="1" x14ac:dyDescent="0.4">
      <c r="A87" s="20" t="s">
        <v>312</v>
      </c>
      <c r="B87" s="21" t="s">
        <v>110</v>
      </c>
      <c r="C87" s="22">
        <v>445</v>
      </c>
      <c r="D87" s="21">
        <v>16.260000000000002</v>
      </c>
      <c r="E87" s="23">
        <v>0.1604789761580096</v>
      </c>
      <c r="I87" s="5">
        <f t="shared" si="4"/>
        <v>-0.49929985735452237</v>
      </c>
      <c r="J87" s="5">
        <f t="shared" si="5"/>
        <v>-0.55108003201233013</v>
      </c>
      <c r="K87" s="65">
        <f t="shared" si="6"/>
        <v>16.259001527787291</v>
      </c>
      <c r="L87" s="6">
        <f t="shared" si="7"/>
        <v>9.9694675955553295E-7</v>
      </c>
    </row>
    <row r="88" spans="1:12" ht="52.5" thickBot="1" x14ac:dyDescent="0.4">
      <c r="A88" s="20" t="s">
        <v>313</v>
      </c>
      <c r="B88" s="21" t="s">
        <v>199</v>
      </c>
      <c r="C88" s="22">
        <v>446</v>
      </c>
      <c r="D88" s="21">
        <v>14.22</v>
      </c>
      <c r="E88" s="23">
        <v>0.16950000000000001</v>
      </c>
      <c r="I88" s="5">
        <f t="shared" si="4"/>
        <v>-0.51093600145126361</v>
      </c>
      <c r="J88" s="5">
        <f t="shared" si="5"/>
        <v>-0.56562690124773751</v>
      </c>
      <c r="K88" s="65">
        <f t="shared" si="6"/>
        <v>17.413309881175678</v>
      </c>
      <c r="L88" s="6">
        <f t="shared" si="7"/>
        <v>10.19722799721422</v>
      </c>
    </row>
    <row r="89" spans="1:12" ht="39.5" thickBot="1" x14ac:dyDescent="0.4">
      <c r="A89" s="20" t="s">
        <v>314</v>
      </c>
      <c r="B89" s="21" t="s">
        <v>47</v>
      </c>
      <c r="C89" s="22">
        <v>447</v>
      </c>
      <c r="D89" s="21">
        <v>15.5</v>
      </c>
      <c r="E89" s="23">
        <v>0.10927420928899288</v>
      </c>
      <c r="I89" s="5">
        <f t="shared" si="4"/>
        <v>-0.88084341696478907</v>
      </c>
      <c r="J89" s="5">
        <f t="shared" si="5"/>
        <v>-0.91610185254333321</v>
      </c>
      <c r="K89" s="65">
        <f t="shared" si="6"/>
        <v>15.499999459653452</v>
      </c>
      <c r="L89" s="6">
        <f t="shared" si="7"/>
        <v>2.9197439188182867E-13</v>
      </c>
    </row>
    <row r="90" spans="1:12" ht="52.5" thickBot="1" x14ac:dyDescent="0.4">
      <c r="A90" s="20" t="s">
        <v>315</v>
      </c>
      <c r="B90" s="21" t="s">
        <v>316</v>
      </c>
      <c r="C90" s="22">
        <v>447.5</v>
      </c>
      <c r="D90" s="21">
        <v>17.71</v>
      </c>
      <c r="E90" s="23">
        <v>0.15246861226849012</v>
      </c>
      <c r="I90" s="5">
        <f t="shared" si="4"/>
        <v>-0.64206177327789959</v>
      </c>
      <c r="J90" s="5">
        <f t="shared" si="5"/>
        <v>-0.69125732251496996</v>
      </c>
      <c r="K90" s="65">
        <f t="shared" si="6"/>
        <v>17.709994588431016</v>
      </c>
      <c r="L90" s="6">
        <f t="shared" si="7"/>
        <v>2.9285078878607089E-11</v>
      </c>
    </row>
    <row r="91" spans="1:12" ht="52.5" thickBot="1" x14ac:dyDescent="0.4">
      <c r="A91" s="20" t="s">
        <v>317</v>
      </c>
      <c r="B91" s="21" t="s">
        <v>318</v>
      </c>
      <c r="C91" s="22">
        <v>448</v>
      </c>
      <c r="D91" s="21">
        <v>15.48</v>
      </c>
      <c r="E91" s="23">
        <v>8.1627274773287142E-2</v>
      </c>
      <c r="I91" s="5">
        <f t="shared" si="4"/>
        <v>-1.2744589649169196</v>
      </c>
      <c r="J91" s="5">
        <f t="shared" si="5"/>
        <v>-1.3007968357445603</v>
      </c>
      <c r="K91" s="65">
        <f t="shared" si="6"/>
        <v>15.479992857944353</v>
      </c>
      <c r="L91" s="6">
        <f t="shared" si="7"/>
        <v>5.1008958869638481E-11</v>
      </c>
    </row>
    <row r="92" spans="1:12" ht="39.5" thickBot="1" x14ac:dyDescent="0.4">
      <c r="A92" s="20" t="s">
        <v>319</v>
      </c>
      <c r="B92" s="21" t="s">
        <v>116</v>
      </c>
      <c r="C92" s="22">
        <v>449</v>
      </c>
      <c r="D92" s="21">
        <v>16.84</v>
      </c>
      <c r="E92" s="23">
        <v>9.8840041469110185E-2</v>
      </c>
      <c r="I92" s="5">
        <f t="shared" si="4"/>
        <v>-1.1173578229069401</v>
      </c>
      <c r="J92" s="5">
        <f t="shared" si="5"/>
        <v>-1.1492495680624941</v>
      </c>
      <c r="K92" s="65">
        <f t="shared" si="6"/>
        <v>16.840809053002772</v>
      </c>
      <c r="L92" s="6">
        <f t="shared" si="7"/>
        <v>6.5456676129476352E-7</v>
      </c>
    </row>
    <row r="93" spans="1:12" ht="39.5" thickBot="1" x14ac:dyDescent="0.4">
      <c r="A93" s="20" t="s">
        <v>320</v>
      </c>
      <c r="B93" s="21" t="s">
        <v>116</v>
      </c>
      <c r="C93" s="22">
        <v>450</v>
      </c>
      <c r="D93" s="21">
        <v>17.440000000000001</v>
      </c>
      <c r="E93" s="23">
        <v>8.7620737220489173E-2</v>
      </c>
      <c r="I93" s="5">
        <f t="shared" si="4"/>
        <v>-1.342970261215493</v>
      </c>
      <c r="J93" s="5">
        <f t="shared" si="5"/>
        <v>-1.371241983689941</v>
      </c>
      <c r="K93" s="65">
        <f t="shared" si="6"/>
        <v>17.440317184346497</v>
      </c>
      <c r="L93" s="6">
        <f t="shared" si="7"/>
        <v>1.0060590966221574E-7</v>
      </c>
    </row>
    <row r="94" spans="1:12" ht="52.5" thickBot="1" x14ac:dyDescent="0.4">
      <c r="A94" s="20" t="s">
        <v>321</v>
      </c>
      <c r="B94" s="21" t="s">
        <v>322</v>
      </c>
      <c r="C94" s="22">
        <v>451</v>
      </c>
      <c r="D94" s="21">
        <v>18.68</v>
      </c>
      <c r="E94" s="23">
        <v>0.10126123335687821</v>
      </c>
      <c r="I94" s="5">
        <f t="shared" si="4"/>
        <v>-1.2258979286064142</v>
      </c>
      <c r="J94" s="5">
        <f t="shared" si="5"/>
        <v>-1.2585708959620978</v>
      </c>
      <c r="K94" s="65">
        <f t="shared" si="6"/>
        <v>18.67998383419507</v>
      </c>
      <c r="L94" s="6">
        <f t="shared" si="7"/>
        <v>2.6133324901404953E-10</v>
      </c>
    </row>
    <row r="95" spans="1:12" ht="52.5" thickBot="1" x14ac:dyDescent="0.4">
      <c r="A95" s="20" t="s">
        <v>323</v>
      </c>
      <c r="B95" s="21" t="s">
        <v>324</v>
      </c>
      <c r="C95" s="22">
        <v>452</v>
      </c>
      <c r="D95" s="21">
        <v>20.68</v>
      </c>
      <c r="E95" s="23">
        <v>0.13734004610545253</v>
      </c>
      <c r="I95" s="5">
        <f t="shared" si="4"/>
        <v>-0.94372654166110159</v>
      </c>
      <c r="J95" s="5">
        <f t="shared" si="5"/>
        <v>-0.98804070508054942</v>
      </c>
      <c r="K95" s="65">
        <f t="shared" si="6"/>
        <v>20.679712939105855</v>
      </c>
      <c r="L95" s="6">
        <f t="shared" si="7"/>
        <v>8.2403956947318816E-8</v>
      </c>
    </row>
    <row r="96" spans="1:12" ht="52.5" thickBot="1" x14ac:dyDescent="0.4">
      <c r="A96" s="20" t="s">
        <v>325</v>
      </c>
      <c r="B96" s="21" t="s">
        <v>326</v>
      </c>
      <c r="C96" s="22">
        <v>452.5</v>
      </c>
      <c r="D96" s="21">
        <v>13.64</v>
      </c>
      <c r="E96" s="23">
        <v>1.4688E-2</v>
      </c>
      <c r="I96" s="5">
        <f t="shared" si="4"/>
        <v>-9.2624019552245063</v>
      </c>
      <c r="J96" s="5">
        <f t="shared" si="5"/>
        <v>-9.2671411878865158</v>
      </c>
      <c r="K96" s="65">
        <f t="shared" si="6"/>
        <v>19.437645117424381</v>
      </c>
      <c r="L96" s="6">
        <f t="shared" si="7"/>
        <v>33.612688907594759</v>
      </c>
    </row>
    <row r="97" spans="1:12" ht="52.5" thickBot="1" x14ac:dyDescent="0.4">
      <c r="A97" s="20" t="s">
        <v>327</v>
      </c>
      <c r="B97" s="21" t="s">
        <v>328</v>
      </c>
      <c r="C97" s="22">
        <v>453</v>
      </c>
      <c r="D97" s="21">
        <v>20.98</v>
      </c>
      <c r="E97" s="23">
        <v>0.12016039961611423</v>
      </c>
      <c r="I97" s="5">
        <f t="shared" si="4"/>
        <v>-1.1415930434301906</v>
      </c>
      <c r="J97" s="5">
        <f t="shared" si="5"/>
        <v>-1.1803640190933715</v>
      </c>
      <c r="K97" s="65">
        <f t="shared" si="6"/>
        <v>20.980548949428851</v>
      </c>
      <c r="L97" s="6">
        <f t="shared" si="7"/>
        <v>3.0134547543520281E-7</v>
      </c>
    </row>
    <row r="98" spans="1:12" ht="52.5" thickBot="1" x14ac:dyDescent="0.4">
      <c r="A98" s="20" t="s">
        <v>329</v>
      </c>
      <c r="B98" s="21" t="s">
        <v>330</v>
      </c>
      <c r="C98" s="22">
        <v>454</v>
      </c>
      <c r="D98" s="21">
        <v>18.82</v>
      </c>
      <c r="E98" s="23">
        <v>1.6685369620276863E-2</v>
      </c>
      <c r="I98" s="5">
        <f t="shared" si="4"/>
        <v>-8.7677272410575782</v>
      </c>
      <c r="J98" s="5">
        <f t="shared" si="5"/>
        <v>-8.7731109453523839</v>
      </c>
      <c r="K98" s="65">
        <f t="shared" si="6"/>
        <v>20.937582652971571</v>
      </c>
      <c r="L98" s="6">
        <f t="shared" si="7"/>
        <v>4.4841562921661158</v>
      </c>
    </row>
    <row r="99" spans="1:12" ht="52.5" thickBot="1" x14ac:dyDescent="0.4">
      <c r="A99" s="20" t="s">
        <v>331</v>
      </c>
      <c r="B99" s="21" t="s">
        <v>332</v>
      </c>
      <c r="C99" s="22">
        <v>455</v>
      </c>
      <c r="D99" s="21">
        <v>22.6</v>
      </c>
      <c r="E99" s="23">
        <v>0.11336304804362742</v>
      </c>
      <c r="I99" s="5">
        <f t="shared" si="4"/>
        <v>-1.3327394457482784</v>
      </c>
      <c r="J99" s="5">
        <f t="shared" si="5"/>
        <v>-1.3693171867581715</v>
      </c>
      <c r="K99" s="65">
        <f t="shared" si="6"/>
        <v>22.599999976992251</v>
      </c>
      <c r="L99" s="6">
        <f t="shared" si="7"/>
        <v>5.2935657716011121E-16</v>
      </c>
    </row>
    <row r="100" spans="1:12" ht="52.5" thickBot="1" x14ac:dyDescent="0.4">
      <c r="A100" s="20" t="s">
        <v>333</v>
      </c>
      <c r="B100" s="21" t="s">
        <v>334</v>
      </c>
      <c r="C100" s="22">
        <v>456</v>
      </c>
      <c r="D100" s="21">
        <v>19.73</v>
      </c>
      <c r="E100" s="23">
        <v>1.411199999999954E-2</v>
      </c>
      <c r="I100" s="5">
        <f t="shared" si="4"/>
        <v>-11.332808426744965</v>
      </c>
      <c r="J100" s="5">
        <f t="shared" si="5"/>
        <v>-11.337361807145719</v>
      </c>
      <c r="K100" s="65">
        <f t="shared" si="6"/>
        <v>22.937499367034548</v>
      </c>
      <c r="L100" s="6">
        <f t="shared" si="7"/>
        <v>10.28805218952702</v>
      </c>
    </row>
    <row r="101" spans="1:12" ht="52.5" thickBot="1" x14ac:dyDescent="0.4">
      <c r="A101" s="20" t="s">
        <v>335</v>
      </c>
      <c r="B101" s="21" t="s">
        <v>336</v>
      </c>
      <c r="C101" s="22">
        <v>457</v>
      </c>
      <c r="D101" s="21">
        <v>16.22</v>
      </c>
      <c r="E101" s="23">
        <v>1.413899999999956E-2</v>
      </c>
      <c r="I101" s="5">
        <f t="shared" si="4"/>
        <v>-11.791328800583196</v>
      </c>
      <c r="J101" s="5">
        <f t="shared" si="5"/>
        <v>-11.795890892808696</v>
      </c>
      <c r="K101" s="65">
        <f t="shared" si="6"/>
        <v>23.937457724066007</v>
      </c>
      <c r="L101" s="6">
        <f t="shared" si="7"/>
        <v>59.559153722746096</v>
      </c>
    </row>
    <row r="102" spans="1:12" ht="52.5" thickBot="1" x14ac:dyDescent="0.4">
      <c r="A102" s="20" t="s">
        <v>337</v>
      </c>
      <c r="B102" s="21" t="s">
        <v>338</v>
      </c>
      <c r="C102" s="22">
        <v>457.5</v>
      </c>
      <c r="D102" s="21">
        <v>16.510000000000002</v>
      </c>
      <c r="E102" s="23">
        <v>1.413899999999956E-2</v>
      </c>
      <c r="I102" s="5">
        <f t="shared" si="4"/>
        <v>-12.03102010170576</v>
      </c>
      <c r="J102" s="5">
        <f t="shared" si="5"/>
        <v>-12.03558219393126</v>
      </c>
      <c r="K102" s="65">
        <f t="shared" si="6"/>
        <v>24.437436902581737</v>
      </c>
      <c r="L102" s="6">
        <f t="shared" si="7"/>
        <v>62.844255844414704</v>
      </c>
    </row>
    <row r="103" spans="1:12" ht="52.5" thickBot="1" x14ac:dyDescent="0.4">
      <c r="A103" s="20" t="s">
        <v>339</v>
      </c>
      <c r="B103" s="21" t="s">
        <v>336</v>
      </c>
      <c r="C103" s="22">
        <v>458</v>
      </c>
      <c r="D103" s="21">
        <v>16.57</v>
      </c>
      <c r="E103" s="23">
        <v>1.4165999999999557E-2</v>
      </c>
      <c r="I103" s="5">
        <f t="shared" si="4"/>
        <v>-12.247053750712</v>
      </c>
      <c r="J103" s="5">
        <f t="shared" si="5"/>
        <v>-12.251624554762246</v>
      </c>
      <c r="K103" s="65">
        <f t="shared" si="6"/>
        <v>24.937416081097524</v>
      </c>
      <c r="L103" s="6">
        <f t="shared" si="7"/>
        <v>70.013651874209444</v>
      </c>
    </row>
    <row r="104" spans="1:12" ht="52.5" thickBot="1" x14ac:dyDescent="0.4">
      <c r="A104" s="20" t="s">
        <v>340</v>
      </c>
      <c r="B104" s="21" t="s">
        <v>336</v>
      </c>
      <c r="C104" s="22">
        <v>459</v>
      </c>
      <c r="D104" s="21">
        <v>18.53</v>
      </c>
      <c r="E104" s="23">
        <v>1.424699999999954E-2</v>
      </c>
      <c r="I104" s="5">
        <f t="shared" si="4"/>
        <v>-12.651849936735296</v>
      </c>
      <c r="J104" s="5">
        <f t="shared" si="5"/>
        <v>-12.656446876259782</v>
      </c>
      <c r="K104" s="65">
        <f t="shared" si="6"/>
        <v>25.937374438128984</v>
      </c>
      <c r="L104" s="6">
        <f t="shared" si="7"/>
        <v>54.869196066646666</v>
      </c>
    </row>
    <row r="105" spans="1:12" ht="52.5" thickBot="1" x14ac:dyDescent="0.4">
      <c r="A105" s="20" t="s">
        <v>341</v>
      </c>
      <c r="B105" s="21" t="s">
        <v>324</v>
      </c>
      <c r="C105" s="22">
        <v>460</v>
      </c>
      <c r="D105" s="21">
        <v>26.93</v>
      </c>
      <c r="E105" s="23">
        <v>7.5364731580081695E-2</v>
      </c>
      <c r="I105" s="5">
        <f t="shared" si="4"/>
        <v>-2.469485689466842</v>
      </c>
      <c r="J105" s="5">
        <f t="shared" si="5"/>
        <v>-2.493802887006868</v>
      </c>
      <c r="K105" s="65">
        <f t="shared" si="6"/>
        <v>26.960351847499112</v>
      </c>
      <c r="L105" s="6">
        <f t="shared" si="7"/>
        <v>9.2123464660936582E-4</v>
      </c>
    </row>
    <row r="106" spans="1:12" ht="52.5" thickBot="1" x14ac:dyDescent="0.4">
      <c r="A106" s="20" t="s">
        <v>342</v>
      </c>
      <c r="B106" s="21" t="s">
        <v>343</v>
      </c>
      <c r="C106" s="22">
        <v>462</v>
      </c>
      <c r="D106" s="21">
        <v>26.29</v>
      </c>
      <c r="E106" s="23">
        <v>1.488599999999954E-2</v>
      </c>
      <c r="I106" s="5">
        <f t="shared" si="4"/>
        <v>-13.464895608056137</v>
      </c>
      <c r="J106" s="5">
        <f t="shared" si="5"/>
        <v>-13.469698727432952</v>
      </c>
      <c r="K106" s="65">
        <f t="shared" si="6"/>
        <v>28.93724950922342</v>
      </c>
      <c r="L106" s="6">
        <f t="shared" si="7"/>
        <v>7.0079299640836439</v>
      </c>
    </row>
    <row r="107" spans="1:12" ht="52.5" thickBot="1" x14ac:dyDescent="0.4">
      <c r="A107" s="20" t="s">
        <v>344</v>
      </c>
      <c r="B107" s="21" t="s">
        <v>336</v>
      </c>
      <c r="C107" s="22">
        <v>462.5</v>
      </c>
      <c r="D107" s="21">
        <v>18.350000000000001</v>
      </c>
      <c r="E107" s="23">
        <v>1.4966999999999536E-2</v>
      </c>
      <c r="I107" s="5">
        <f t="shared" si="4"/>
        <v>-13.615980731458135</v>
      </c>
      <c r="J107" s="5">
        <f t="shared" si="5"/>
        <v>-13.62080998630919</v>
      </c>
      <c r="K107" s="65">
        <f t="shared" si="6"/>
        <v>29.43722868773915</v>
      </c>
      <c r="L107" s="6">
        <f t="shared" si="7"/>
        <v>122.92663997422596</v>
      </c>
    </row>
    <row r="108" spans="1:12" ht="52.5" thickBot="1" x14ac:dyDescent="0.4">
      <c r="A108" s="20" t="s">
        <v>345</v>
      </c>
      <c r="B108" s="21" t="s">
        <v>346</v>
      </c>
      <c r="C108" s="22">
        <v>464</v>
      </c>
      <c r="D108" s="21">
        <v>18.34</v>
      </c>
      <c r="E108" s="23">
        <v>1.5362999999999523E-2</v>
      </c>
      <c r="I108" s="5">
        <f t="shared" si="4"/>
        <v>-13.918099141904484</v>
      </c>
      <c r="J108" s="5">
        <f t="shared" si="5"/>
        <v>-13.923056170185152</v>
      </c>
      <c r="K108" s="65">
        <f t="shared" si="6"/>
        <v>30.93716622328634</v>
      </c>
      <c r="L108" s="6">
        <f t="shared" si="7"/>
        <v>158.68859685710623</v>
      </c>
    </row>
    <row r="109" spans="1:12" ht="39.5" thickBot="1" x14ac:dyDescent="0.4">
      <c r="A109" s="20" t="s">
        <v>347</v>
      </c>
      <c r="B109" s="21" t="s">
        <v>348</v>
      </c>
      <c r="C109" s="22">
        <v>465</v>
      </c>
      <c r="D109" s="21">
        <v>30.77</v>
      </c>
      <c r="E109" s="23">
        <v>0</v>
      </c>
      <c r="I109" s="5" t="e">
        <f>(LN($M$2/C109)+($O$2-$P$2+0.5*E109^2)*$N$2)/(E109*SQRT($N$2))</f>
        <v>#DIV/0!</v>
      </c>
      <c r="J109" s="5" t="e">
        <f t="shared" si="5"/>
        <v>#DIV/0!</v>
      </c>
      <c r="K109" s="65" t="e">
        <f xml:space="preserve"> C109*M$5*_xlfn.NORM.S.DIST(-J109,TRUE) - $N$5*_xlfn.NORM.S.DIST(-I109,TRUE)</f>
        <v>#DIV/0!</v>
      </c>
      <c r="L109" s="6" t="e">
        <f>(D109-K109)^2</f>
        <v>#DIV/0!</v>
      </c>
    </row>
    <row r="110" spans="1:12" ht="52.5" thickBot="1" x14ac:dyDescent="0.4">
      <c r="A110" s="20" t="s">
        <v>349</v>
      </c>
      <c r="B110" s="21" t="s">
        <v>346</v>
      </c>
      <c r="C110" s="22">
        <v>466</v>
      </c>
      <c r="D110" s="21">
        <v>22.89</v>
      </c>
      <c r="E110" s="23">
        <v>1.5812999999999487E-2</v>
      </c>
      <c r="I110" s="5">
        <f t="shared" si="4"/>
        <v>-14.364861899216493</v>
      </c>
      <c r="J110" s="5">
        <f t="shared" si="5"/>
        <v>-14.369964124576267</v>
      </c>
      <c r="K110" s="65">
        <f t="shared" si="6"/>
        <v>32.937082937349317</v>
      </c>
      <c r="L110" s="6">
        <f t="shared" si="7"/>
        <v>100.94387554997576</v>
      </c>
    </row>
    <row r="111" spans="1:12" ht="52.5" thickBot="1" x14ac:dyDescent="0.4">
      <c r="A111" s="20" t="s">
        <v>350</v>
      </c>
      <c r="B111" s="21" t="s">
        <v>346</v>
      </c>
      <c r="C111" s="22">
        <v>467.5</v>
      </c>
      <c r="D111" s="21">
        <v>22.15</v>
      </c>
      <c r="E111" s="23">
        <v>1.6163999999999529E-2</v>
      </c>
      <c r="I111" s="5">
        <f t="shared" si="4"/>
        <v>-14.66900582296228</v>
      </c>
      <c r="J111" s="5">
        <f t="shared" si="5"/>
        <v>-14.674221302043756</v>
      </c>
      <c r="K111" s="65">
        <f t="shared" si="6"/>
        <v>34.437020472896506</v>
      </c>
      <c r="L111" s="6">
        <f t="shared" si="7"/>
        <v>150.97087210137792</v>
      </c>
    </row>
    <row r="112" spans="1:12" ht="52.5" thickBot="1" x14ac:dyDescent="0.4">
      <c r="A112" s="20" t="s">
        <v>351</v>
      </c>
      <c r="B112" s="21" t="s">
        <v>346</v>
      </c>
      <c r="C112" s="22">
        <v>468</v>
      </c>
      <c r="D112" s="21">
        <v>24.6</v>
      </c>
      <c r="E112" s="23">
        <v>1.6406999999999495E-2</v>
      </c>
      <c r="I112" s="5">
        <f t="shared" si="4"/>
        <v>-14.653590097921464</v>
      </c>
      <c r="J112" s="5">
        <f t="shared" si="5"/>
        <v>-14.658883983425657</v>
      </c>
      <c r="K112" s="65">
        <f t="shared" si="6"/>
        <v>34.936999651412236</v>
      </c>
      <c r="L112" s="6">
        <f t="shared" si="7"/>
        <v>106.85356179329666</v>
      </c>
    </row>
    <row r="113" spans="1:12" ht="39.5" thickBot="1" x14ac:dyDescent="0.4">
      <c r="A113" s="20" t="s">
        <v>352</v>
      </c>
      <c r="B113" s="21" t="s">
        <v>114</v>
      </c>
      <c r="C113" s="22">
        <v>470</v>
      </c>
      <c r="D113" s="21">
        <v>36.799999999999997</v>
      </c>
      <c r="E113" s="23">
        <v>3.0526151529346665E-2</v>
      </c>
      <c r="I113" s="5">
        <f t="shared" si="4"/>
        <v>-8.3053680679026751</v>
      </c>
      <c r="J113" s="5">
        <f t="shared" si="5"/>
        <v>-8.3152176413213379</v>
      </c>
      <c r="K113" s="65">
        <f t="shared" si="6"/>
        <v>36.936916365475213</v>
      </c>
      <c r="L113" s="6">
        <f t="shared" si="7"/>
        <v>1.8746091134942834E-2</v>
      </c>
    </row>
    <row r="114" spans="1:12" ht="39.5" thickBot="1" x14ac:dyDescent="0.4">
      <c r="A114" s="20" t="s">
        <v>353</v>
      </c>
      <c r="B114" s="21" t="s">
        <v>354</v>
      </c>
      <c r="C114" s="22">
        <v>480</v>
      </c>
      <c r="D114" s="21">
        <v>38.450000000000003</v>
      </c>
      <c r="E114" s="23">
        <v>2.0762999999999355E-2</v>
      </c>
      <c r="I114" s="5">
        <f t="shared" si="4"/>
        <v>-15.357183006570118</v>
      </c>
      <c r="J114" s="5">
        <f t="shared" si="5"/>
        <v>-15.363882399800055</v>
      </c>
      <c r="K114" s="65">
        <f t="shared" si="6"/>
        <v>46.936499935789982</v>
      </c>
      <c r="L114" s="6">
        <f t="shared" si="7"/>
        <v>72.020681160163321</v>
      </c>
    </row>
    <row r="115" spans="1:12" ht="52.5" thickBot="1" x14ac:dyDescent="0.4">
      <c r="A115" s="20" t="s">
        <v>355</v>
      </c>
      <c r="B115" s="21" t="s">
        <v>346</v>
      </c>
      <c r="C115" s="22">
        <v>490</v>
      </c>
      <c r="D115" s="21">
        <v>48.54</v>
      </c>
      <c r="E115" s="23">
        <v>2.3813999999999304E-2</v>
      </c>
      <c r="I115" s="5">
        <f t="shared" si="4"/>
        <v>-16.072196366447351</v>
      </c>
      <c r="J115" s="5">
        <f t="shared" si="5"/>
        <v>-16.079880195873624</v>
      </c>
      <c r="K115" s="65">
        <f t="shared" si="6"/>
        <v>56.936083506104751</v>
      </c>
      <c r="L115" s="6">
        <f t="shared" si="7"/>
        <v>70.494218241484262</v>
      </c>
    </row>
    <row r="116" spans="1:12" ht="52" x14ac:dyDescent="0.35">
      <c r="A116" s="20" t="s">
        <v>356</v>
      </c>
      <c r="B116" s="21" t="s">
        <v>346</v>
      </c>
      <c r="C116" s="22">
        <v>500</v>
      </c>
      <c r="D116" s="21">
        <v>58.52</v>
      </c>
      <c r="E116" s="23">
        <v>2.6711999999999101E-2</v>
      </c>
      <c r="I116" s="5">
        <f t="shared" si="4"/>
        <v>-16.67163137892673</v>
      </c>
      <c r="J116" s="5">
        <f t="shared" si="5"/>
        <v>-16.680250277542441</v>
      </c>
      <c r="K116" s="65">
        <f t="shared" si="6"/>
        <v>66.93566707641952</v>
      </c>
      <c r="L116" s="6">
        <f t="shared" si="7"/>
        <v>70.823452341131414</v>
      </c>
    </row>
  </sheetData>
  <hyperlinks>
    <hyperlink ref="A3" r:id="rId1" display="https://finance.yahoo.com/quote/SPY211029P00240000?p=SPY211029P00240000" xr:uid="{958F381C-A5D7-4D52-A3E4-2867DA4EEA01}"/>
    <hyperlink ref="C3" r:id="rId2" display="https://finance.yahoo.com/quote/SPY/options?strike=240&amp;straddle=false" xr:uid="{FE74CF2C-F19D-4F55-AAFF-C26E153AF609}"/>
    <hyperlink ref="A4" r:id="rId3" display="https://finance.yahoo.com/quote/SPY211029P00250000?p=SPY211029P00250000" xr:uid="{B17182F7-319C-4F80-922D-BE6DD28B5ED1}"/>
    <hyperlink ref="C4" r:id="rId4" display="https://finance.yahoo.com/quote/SPY/options?strike=250&amp;straddle=false" xr:uid="{1B1D0BBA-EF86-42E6-89DC-6AB7B8D95EA6}"/>
    <hyperlink ref="A5" r:id="rId5" display="https://finance.yahoo.com/quote/SPY211029P00270000?p=SPY211029P00270000" xr:uid="{58B90264-932C-438C-8BCD-F36C5E66EBC2}"/>
    <hyperlink ref="C5" r:id="rId6" display="https://finance.yahoo.com/quote/SPY/options?strike=270&amp;straddle=false" xr:uid="{7144D4EC-F78C-4A71-9808-D70C9078B029}"/>
    <hyperlink ref="A6" r:id="rId7" display="https://finance.yahoo.com/quote/SPY211029P00275000?p=SPY211029P00275000" xr:uid="{397139C1-D8A4-434C-A39C-76F9C7455CA3}"/>
    <hyperlink ref="C6" r:id="rId8" display="https://finance.yahoo.com/quote/SPY/options?strike=275&amp;straddle=false" xr:uid="{74D648B0-1C57-4D2A-A4C7-9C80908E57C8}"/>
    <hyperlink ref="A7" r:id="rId9" display="https://finance.yahoo.com/quote/SPY211029P00280000?p=SPY211029P00280000" xr:uid="{8774C911-ABF7-48E5-8CAA-C1C4567CDF1A}"/>
    <hyperlink ref="C7" r:id="rId10" display="https://finance.yahoo.com/quote/SPY/options?strike=280&amp;straddle=false" xr:uid="{8DF3EFFE-DFE7-4DAE-AD36-5EE2691CA7C4}"/>
    <hyperlink ref="A8" r:id="rId11" display="https://finance.yahoo.com/quote/SPY211029P00285000?p=SPY211029P00285000" xr:uid="{69700029-568D-4025-8DA7-C46EB9AB9E66}"/>
    <hyperlink ref="C8" r:id="rId12" display="https://finance.yahoo.com/quote/SPY/options?strike=285&amp;straddle=false" xr:uid="{CB2C09C8-1F22-49CD-A1A0-3F87D1636FB4}"/>
    <hyperlink ref="A9" r:id="rId13" display="https://finance.yahoo.com/quote/SPY211029P00290000?p=SPY211029P00290000" xr:uid="{19E5E68F-AE6B-4A76-98BB-C0D7D6A0A9F0}"/>
    <hyperlink ref="C9" r:id="rId14" display="https://finance.yahoo.com/quote/SPY/options?strike=290&amp;straddle=false" xr:uid="{2336D543-496B-4CAC-B0E7-4E996DE02839}"/>
    <hyperlink ref="A10" r:id="rId15" display="https://finance.yahoo.com/quote/SPY211029P00295000?p=SPY211029P00295000" xr:uid="{E5248E84-08EE-4490-A623-DF0C0E6F0B9C}"/>
    <hyperlink ref="C10" r:id="rId16" display="https://finance.yahoo.com/quote/SPY/options?strike=295&amp;straddle=false" xr:uid="{86820645-5FE0-4024-B2F8-20E95FC1AD00}"/>
    <hyperlink ref="A11" r:id="rId17" display="https://finance.yahoo.com/quote/SPY211029P00300000?p=SPY211029P00300000" xr:uid="{2C190C8E-F909-4563-9F60-6B1723D21C8A}"/>
    <hyperlink ref="C11" r:id="rId18" display="https://finance.yahoo.com/quote/SPY/options?strike=300&amp;straddle=false" xr:uid="{2FDF0C09-4311-4227-91E2-54EABF829E6F}"/>
    <hyperlink ref="A12" r:id="rId19" display="https://finance.yahoo.com/quote/SPY211029P00305000?p=SPY211029P00305000" xr:uid="{CDB25F0F-4B76-4017-B388-6E5AB48FDEB0}"/>
    <hyperlink ref="C12" r:id="rId20" display="https://finance.yahoo.com/quote/SPY/options?strike=305&amp;straddle=false" xr:uid="{1A5AE5EA-C061-4DD6-9493-336C3BFF1231}"/>
    <hyperlink ref="A13" r:id="rId21" display="https://finance.yahoo.com/quote/SPY211029P00310000?p=SPY211029P00310000" xr:uid="{C586F0B4-6767-49C8-B930-8795E51546CE}"/>
    <hyperlink ref="C13" r:id="rId22" display="https://finance.yahoo.com/quote/SPY/options?strike=310&amp;straddle=false" xr:uid="{AF493A5C-42F6-4DE8-A2FF-7948C178B339}"/>
    <hyperlink ref="A14" r:id="rId23" display="https://finance.yahoo.com/quote/SPY211029P00315000?p=SPY211029P00315000" xr:uid="{00D62031-DAE6-44F4-A21E-3D51109D4E67}"/>
    <hyperlink ref="C14" r:id="rId24" display="https://finance.yahoo.com/quote/SPY/options?strike=315&amp;straddle=false" xr:uid="{04D7F4AE-A863-4C30-A207-C5593FBE06E8}"/>
    <hyperlink ref="A15" r:id="rId25" display="https://finance.yahoo.com/quote/SPY211029P00320000?p=SPY211029P00320000" xr:uid="{6185C94F-7B19-4997-B32D-923E4E34F8DC}"/>
    <hyperlink ref="C15" r:id="rId26" display="https://finance.yahoo.com/quote/SPY/options?strike=320&amp;straddle=false" xr:uid="{1A1D0A75-2BE6-43FF-95B6-40E1870118EF}"/>
    <hyperlink ref="A16" r:id="rId27" display="https://finance.yahoo.com/quote/SPY211029P00325000?p=SPY211029P00325000" xr:uid="{D265269E-FE5D-4D5A-B263-47C8C88BA6EF}"/>
    <hyperlink ref="C16" r:id="rId28" display="https://finance.yahoo.com/quote/SPY/options?strike=325&amp;straddle=false" xr:uid="{427E85BB-C25F-4F90-BAE6-48819F01BF6E}"/>
    <hyperlink ref="A17" r:id="rId29" display="https://finance.yahoo.com/quote/SPY211029P00330000?p=SPY211029P00330000" xr:uid="{6BC71CF4-9381-47C1-AC54-2BA775E4F7F8}"/>
    <hyperlink ref="C17" r:id="rId30" display="https://finance.yahoo.com/quote/SPY/options?strike=330&amp;straddle=false" xr:uid="{5910F18E-B9A9-4B07-9ECF-4930975F2E2E}"/>
    <hyperlink ref="A18" r:id="rId31" display="https://finance.yahoo.com/quote/SPY211029P00335000?p=SPY211029P00335000" xr:uid="{9A0535C2-CCBF-4B35-9E72-9FAAC2199723}"/>
    <hyperlink ref="C18" r:id="rId32" display="https://finance.yahoo.com/quote/SPY/options?strike=335&amp;straddle=false" xr:uid="{FE973D2E-3046-4F7E-B2DB-6D144C9C39FF}"/>
    <hyperlink ref="A19" r:id="rId33" display="https://finance.yahoo.com/quote/SPY211029P00340000?p=SPY211029P00340000" xr:uid="{5AB673DB-A6EF-4E78-9121-E3E977ABAB63}"/>
    <hyperlink ref="C19" r:id="rId34" display="https://finance.yahoo.com/quote/SPY/options?strike=340&amp;straddle=false" xr:uid="{A6CC67C9-1056-4E60-B872-33C8654BAF4D}"/>
    <hyperlink ref="A20" r:id="rId35" display="https://finance.yahoo.com/quote/SPY211029P00345000?p=SPY211029P00345000" xr:uid="{98527330-B32D-4694-9C5F-38A363594427}"/>
    <hyperlink ref="C20" r:id="rId36" display="https://finance.yahoo.com/quote/SPY/options?strike=345&amp;straddle=false" xr:uid="{1D80D511-89BE-4692-A265-CC03074DEFC8}"/>
    <hyperlink ref="A21" r:id="rId37" display="https://finance.yahoo.com/quote/SPY211029P00350000?p=SPY211029P00350000" xr:uid="{D610F0EE-F727-43B1-9F47-324F6AB97F67}"/>
    <hyperlink ref="C21" r:id="rId38" display="https://finance.yahoo.com/quote/SPY/options?strike=350&amp;straddle=false" xr:uid="{9A27D19B-5DA4-4FD9-B6C1-F8B64A21D123}"/>
    <hyperlink ref="A22" r:id="rId39" display="https://finance.yahoo.com/quote/SPY211029P00355000?p=SPY211029P00355000" xr:uid="{7150DD9D-1840-4125-9EAC-10E94FFE315F}"/>
    <hyperlink ref="C22" r:id="rId40" display="https://finance.yahoo.com/quote/SPY/options?strike=355&amp;straddle=false" xr:uid="{02204118-2DD1-4EA7-9D8B-71D5072AA87C}"/>
    <hyperlink ref="A23" r:id="rId41" display="https://finance.yahoo.com/quote/SPY211029P00358000?p=SPY211029P00358000" xr:uid="{61673387-2F11-4B34-ABF9-A10E30696448}"/>
    <hyperlink ref="C23" r:id="rId42" display="https://finance.yahoo.com/quote/SPY/options?strike=358&amp;straddle=false" xr:uid="{3145AEC5-BC7F-4910-91B6-71918988A020}"/>
    <hyperlink ref="A24" r:id="rId43" display="https://finance.yahoo.com/quote/SPY211029P00360000?p=SPY211029P00360000" xr:uid="{E3749CD0-EB99-462E-AB19-FDDBCEB374DD}"/>
    <hyperlink ref="C24" r:id="rId44" display="https://finance.yahoo.com/quote/SPY/options?strike=360&amp;straddle=false" xr:uid="{FC2A6C5E-1FEB-4047-9FBB-5634A569A20A}"/>
    <hyperlink ref="A25" r:id="rId45" display="https://finance.yahoo.com/quote/SPY211029P00362000?p=SPY211029P00362000" xr:uid="{5340406F-0DE3-432E-89E3-1419D88B1E48}"/>
    <hyperlink ref="C25" r:id="rId46" display="https://finance.yahoo.com/quote/SPY/options?strike=362&amp;straddle=false" xr:uid="{E77FD73C-F7DF-46F1-B114-11A17F68E7F2}"/>
    <hyperlink ref="A26" r:id="rId47" display="https://finance.yahoo.com/quote/SPY211029P00364000?p=SPY211029P00364000" xr:uid="{5017B6CE-B38A-4921-9D4C-6356B2D5DEFE}"/>
    <hyperlink ref="C26" r:id="rId48" display="https://finance.yahoo.com/quote/SPY/options?strike=364&amp;straddle=false" xr:uid="{5D74E162-E9C0-48D8-AC85-86CB39D04FE5}"/>
    <hyperlink ref="A27" r:id="rId49" display="https://finance.yahoo.com/quote/SPY211029P00365000?p=SPY211029P00365000" xr:uid="{C2CEF63E-DA6D-4836-96F8-39DF1EFD9F26}"/>
    <hyperlink ref="C27" r:id="rId50" display="https://finance.yahoo.com/quote/SPY/options?strike=365&amp;straddle=false" xr:uid="{8698193C-C5AC-4E35-B2D7-E3A2008A606F}"/>
    <hyperlink ref="A28" r:id="rId51" display="https://finance.yahoo.com/quote/SPY211029P00366000?p=SPY211029P00366000" xr:uid="{7C41C079-1BE5-435E-944A-86D1E80B4DCE}"/>
    <hyperlink ref="C28" r:id="rId52" display="https://finance.yahoo.com/quote/SPY/options?strike=366&amp;straddle=false" xr:uid="{4C12DA5F-0EF4-4F41-BCAC-024223E9C032}"/>
    <hyperlink ref="A29" r:id="rId53" display="https://finance.yahoo.com/quote/SPY211029P00368000?p=SPY211029P00368000" xr:uid="{D5C5A38F-8315-4BE9-A3D6-7CFC465FD204}"/>
    <hyperlink ref="C29" r:id="rId54" display="https://finance.yahoo.com/quote/SPY/options?strike=368&amp;straddle=false" xr:uid="{0E239791-1E7E-4342-8F3A-17270C2B875B}"/>
    <hyperlink ref="A30" r:id="rId55" display="https://finance.yahoo.com/quote/SPY211029P00370000?p=SPY211029P00370000" xr:uid="{CAC94FFB-96F8-4DC2-AED0-B3817D3DA5D9}"/>
    <hyperlink ref="C30" r:id="rId56" display="https://finance.yahoo.com/quote/SPY/options?strike=370&amp;straddle=false" xr:uid="{801010D6-F9EF-4247-A1D4-FA25379FF48A}"/>
    <hyperlink ref="A31" r:id="rId57" display="https://finance.yahoo.com/quote/SPY211029P00372000?p=SPY211029P00372000" xr:uid="{CDA6DC0E-69F3-4089-A09E-A6278BA03B7F}"/>
    <hyperlink ref="C31" r:id="rId58" display="https://finance.yahoo.com/quote/SPY/options?strike=372&amp;straddle=false" xr:uid="{95EC454A-9055-4494-9189-88B020656A7E}"/>
    <hyperlink ref="A32" r:id="rId59" display="https://finance.yahoo.com/quote/SPY211029P00375000?p=SPY211029P00375000" xr:uid="{C624AD07-F1A4-4CE6-8EA3-C7567B354CB7}"/>
    <hyperlink ref="C32" r:id="rId60" display="https://finance.yahoo.com/quote/SPY/options?strike=375&amp;straddle=false" xr:uid="{792921E1-F0C0-474A-A39D-E8D1CDCDF7E8}"/>
    <hyperlink ref="A33" r:id="rId61" display="https://finance.yahoo.com/quote/SPY211029P00380000?p=SPY211029P00380000" xr:uid="{20A0126D-D819-4CB6-B2C8-DA45424E3AA7}"/>
    <hyperlink ref="C33" r:id="rId62" display="https://finance.yahoo.com/quote/SPY/options?strike=380&amp;straddle=false" xr:uid="{5FD2949B-9151-498E-A3AB-46F60CBD859A}"/>
    <hyperlink ref="A34" r:id="rId63" display="https://finance.yahoo.com/quote/SPY211029P00385000?p=SPY211029P00385000" xr:uid="{D74D2ABD-30B5-4CC0-BA81-842166479EDF}"/>
    <hyperlink ref="C34" r:id="rId64" display="https://finance.yahoo.com/quote/SPY/options?strike=385&amp;straddle=false" xr:uid="{DD11C128-B62F-42AD-9976-B4569D2D0C03}"/>
    <hyperlink ref="A35" r:id="rId65" display="https://finance.yahoo.com/quote/SPY211029P00390000?p=SPY211029P00390000" xr:uid="{A5D7FAF9-0ECB-45C5-84EC-FD145C39A6A0}"/>
    <hyperlink ref="C35" r:id="rId66" display="https://finance.yahoo.com/quote/SPY/options?strike=390&amp;straddle=false" xr:uid="{75E5DD75-0116-40E8-8407-89A821730E6F}"/>
    <hyperlink ref="A36" r:id="rId67" display="https://finance.yahoo.com/quote/SPY211029P00395000?p=SPY211029P00395000" xr:uid="{0C6C758A-D3D7-4B6B-941F-98999A27506C}"/>
    <hyperlink ref="C36" r:id="rId68" display="https://finance.yahoo.com/quote/SPY/options?strike=395&amp;straddle=false" xr:uid="{91EC98D0-237E-4B2E-A37A-15AE17E31DC0}"/>
    <hyperlink ref="A37" r:id="rId69" display="https://finance.yahoo.com/quote/SPY211029P00398000?p=SPY211029P00398000" xr:uid="{BFEC5FDA-A55C-4349-AD6F-D9C6639FCB2B}"/>
    <hyperlink ref="C37" r:id="rId70" display="https://finance.yahoo.com/quote/SPY/options?strike=398&amp;straddle=false" xr:uid="{52DFD3A4-5186-4FA6-B127-706E14640590}"/>
    <hyperlink ref="A38" r:id="rId71" display="https://finance.yahoo.com/quote/SPY211029P00400000?p=SPY211029P00400000" xr:uid="{B46DEEF5-93D4-4469-B8E3-58764B9F1298}"/>
    <hyperlink ref="C38" r:id="rId72" display="https://finance.yahoo.com/quote/SPY/options?strike=400&amp;straddle=false" xr:uid="{31EDC35E-8EC3-4F95-A0C4-C7F0B0EABC9A}"/>
    <hyperlink ref="A39" r:id="rId73" display="https://finance.yahoo.com/quote/SPY211029P00402000?p=SPY211029P00402000" xr:uid="{DFD5BE9F-1B65-454A-B467-03F8E285502F}"/>
    <hyperlink ref="C39" r:id="rId74" display="https://finance.yahoo.com/quote/SPY/options?strike=402&amp;straddle=false" xr:uid="{532FCBB0-06F4-4F5E-AA8A-7436BA434728}"/>
    <hyperlink ref="A40" r:id="rId75" display="https://finance.yahoo.com/quote/SPY211029P00403000?p=SPY211029P00403000" xr:uid="{B488D51D-569E-4687-82F2-55C441028F50}"/>
    <hyperlink ref="C40" r:id="rId76" display="https://finance.yahoo.com/quote/SPY/options?strike=403&amp;straddle=false" xr:uid="{39A95036-69A8-4544-8B06-D98F21AAE16E}"/>
    <hyperlink ref="A41" r:id="rId77" display="https://finance.yahoo.com/quote/SPY211029P00404000?p=SPY211029P00404000" xr:uid="{BFBA4BF7-158A-4000-B90A-6B5C3DD51681}"/>
    <hyperlink ref="C41" r:id="rId78" display="https://finance.yahoo.com/quote/SPY/options?strike=404&amp;straddle=false" xr:uid="{89E7835A-1A73-4013-85FB-5EA3F8D7155A}"/>
    <hyperlink ref="A42" r:id="rId79" display="https://finance.yahoo.com/quote/SPY211029P00405000?p=SPY211029P00405000" xr:uid="{4323AD24-D9AF-4894-8145-9A053BD9C7A1}"/>
    <hyperlink ref="C42" r:id="rId80" display="https://finance.yahoo.com/quote/SPY/options?strike=405&amp;straddle=false" xr:uid="{BEFDED60-22EE-44FE-8305-81B48929EF6B}"/>
    <hyperlink ref="A43" r:id="rId81" display="https://finance.yahoo.com/quote/SPY211029P00406000?p=SPY211029P00406000" xr:uid="{BB02EBA5-B695-428E-9065-5484ACF1951B}"/>
    <hyperlink ref="C43" r:id="rId82" display="https://finance.yahoo.com/quote/SPY/options?strike=406&amp;straddle=false" xr:uid="{1C9F5705-337D-4B6B-BB1C-7E592F1A1EB0}"/>
    <hyperlink ref="A44" r:id="rId83" display="https://finance.yahoo.com/quote/SPY211029P00408000?p=SPY211029P00408000" xr:uid="{A53595BD-8B62-4DE6-A603-B0FE63938D40}"/>
    <hyperlink ref="C44" r:id="rId84" display="https://finance.yahoo.com/quote/SPY/options?strike=408&amp;straddle=false" xr:uid="{E5A6FDD4-CBD1-4C63-89CE-B0655C59A325}"/>
    <hyperlink ref="A45" r:id="rId85" display="https://finance.yahoo.com/quote/SPY211029P00409000?p=SPY211029P00409000" xr:uid="{840524BE-A4E4-4E9A-848C-EC24BCEB8AD2}"/>
    <hyperlink ref="C45" r:id="rId86" display="https://finance.yahoo.com/quote/SPY/options?strike=409&amp;straddle=false" xr:uid="{A34A0B6C-3086-4030-99F8-5CC0EF1FAC22}"/>
    <hyperlink ref="A46" r:id="rId87" display="https://finance.yahoo.com/quote/SPY211029P00410000?p=SPY211029P00410000" xr:uid="{A48BC430-7DA9-4E3B-AB4E-BCA496EF86CA}"/>
    <hyperlink ref="C46" r:id="rId88" display="https://finance.yahoo.com/quote/SPY/options?strike=410&amp;straddle=false" xr:uid="{8567B104-494C-44C7-961A-3E3800030473}"/>
    <hyperlink ref="A47" r:id="rId89" display="https://finance.yahoo.com/quote/SPY211029P00411000?p=SPY211029P00411000" xr:uid="{83C19CEE-21F5-48A8-B882-0500D611F6AC}"/>
    <hyperlink ref="C47" r:id="rId90" display="https://finance.yahoo.com/quote/SPY/options?strike=411&amp;straddle=false" xr:uid="{67434AAC-E0C4-47CE-8B84-8CE896AE5B63}"/>
    <hyperlink ref="A48" r:id="rId91" display="https://finance.yahoo.com/quote/SPY211029P00412000?p=SPY211029P00412000" xr:uid="{ACCB7BBB-9660-4758-820E-DBE0821AC720}"/>
    <hyperlink ref="C48" r:id="rId92" display="https://finance.yahoo.com/quote/SPY/options?strike=412&amp;straddle=false" xr:uid="{118749EF-73C2-460E-89FA-6C667A506A88}"/>
    <hyperlink ref="A49" r:id="rId93" display="https://finance.yahoo.com/quote/SPY211029P00413000?p=SPY211029P00413000" xr:uid="{9DC10B39-79A1-4D8A-B64D-5D0886A6AEAC}"/>
    <hyperlink ref="C49" r:id="rId94" display="https://finance.yahoo.com/quote/SPY/options?strike=413&amp;straddle=false" xr:uid="{AE86DC43-D070-4318-B712-D99B42578BEC}"/>
    <hyperlink ref="A50" r:id="rId95" display="https://finance.yahoo.com/quote/SPY211029P00414000?p=SPY211029P00414000" xr:uid="{426ECCFF-0ED0-47D2-9356-1F403F8304F8}"/>
    <hyperlink ref="C50" r:id="rId96" display="https://finance.yahoo.com/quote/SPY/options?strike=414&amp;straddle=false" xr:uid="{17EC6E95-E11B-4D4F-9B62-FC82368B348C}"/>
    <hyperlink ref="A51" r:id="rId97" display="https://finance.yahoo.com/quote/SPY211029P00415000?p=SPY211029P00415000" xr:uid="{7D67B1F9-7C36-4CDF-9763-5BFA960711B5}"/>
    <hyperlink ref="C51" r:id="rId98" display="https://finance.yahoo.com/quote/SPY/options?strike=415&amp;straddle=false" xr:uid="{BF5BAF99-112D-4C2D-8309-5C142C9C5094}"/>
    <hyperlink ref="A52" r:id="rId99" display="https://finance.yahoo.com/quote/SPY211029P00416000?p=SPY211029P00416000" xr:uid="{820FAABB-5A45-4478-AE7C-91A414B873A6}"/>
    <hyperlink ref="C52" r:id="rId100" display="https://finance.yahoo.com/quote/SPY/options?strike=416&amp;straddle=false" xr:uid="{0B9EBADE-7548-40CB-978B-BC053969FA2E}"/>
    <hyperlink ref="A53" r:id="rId101" display="https://finance.yahoo.com/quote/SPY211029P00417000?p=SPY211029P00417000" xr:uid="{2821CD92-D9C6-44D8-BAB8-947EB99003BF}"/>
    <hyperlink ref="C53" r:id="rId102" display="https://finance.yahoo.com/quote/SPY/options?strike=417&amp;straddle=false" xr:uid="{9B889AF9-73F2-40DF-BE66-EA3EA0B1C646}"/>
    <hyperlink ref="A54" r:id="rId103" display="https://finance.yahoo.com/quote/SPY211029P00417500?p=SPY211029P00417500" xr:uid="{30B0A705-C445-476E-A980-014630DBC6ED}"/>
    <hyperlink ref="C54" r:id="rId104" display="https://finance.yahoo.com/quote/SPY/options?strike=417.5&amp;straddle=false" xr:uid="{ECB7BC4F-A6FC-4A7B-AD60-F1F5424BB9FC}"/>
    <hyperlink ref="A55" r:id="rId105" display="https://finance.yahoo.com/quote/SPY211029P00418000?p=SPY211029P00418000" xr:uid="{B88C60C7-F7B7-432F-9606-3DD00C667958}"/>
    <hyperlink ref="C55" r:id="rId106" display="https://finance.yahoo.com/quote/SPY/options?strike=418&amp;straddle=false" xr:uid="{52125EA6-3C05-4A43-8738-EE7FB53906F3}"/>
    <hyperlink ref="A56" r:id="rId107" display="https://finance.yahoo.com/quote/SPY211029P00419000?p=SPY211029P00419000" xr:uid="{9A7496C4-9E30-4352-88C1-E69BDAFD28AC}"/>
    <hyperlink ref="C56" r:id="rId108" display="https://finance.yahoo.com/quote/SPY/options?strike=419&amp;straddle=false" xr:uid="{C4E22F5A-653B-4730-9F64-08C3911A7431}"/>
    <hyperlink ref="A57" r:id="rId109" display="https://finance.yahoo.com/quote/SPY211029P00420000?p=SPY211029P00420000" xr:uid="{041A22FE-3991-4107-B78F-FD4AC95B3EA2}"/>
    <hyperlink ref="C57" r:id="rId110" display="https://finance.yahoo.com/quote/SPY/options?strike=420&amp;straddle=false" xr:uid="{466152FB-4342-4390-80D1-5F11465662C9}"/>
    <hyperlink ref="A58" r:id="rId111" display="https://finance.yahoo.com/quote/SPY211029P00421000?p=SPY211029P00421000" xr:uid="{00DF7966-9847-44EE-924D-87CDBEEE3371}"/>
    <hyperlink ref="C58" r:id="rId112" display="https://finance.yahoo.com/quote/SPY/options?strike=421&amp;straddle=false" xr:uid="{DC096067-9B6A-4B26-A1DE-15867B0D4D09}"/>
    <hyperlink ref="A59" r:id="rId113" display="https://finance.yahoo.com/quote/SPY211029P00422000?p=SPY211029P00422000" xr:uid="{CCFF756C-2CF6-49EB-AEC4-5CB8E21A2FDA}"/>
    <hyperlink ref="C59" r:id="rId114" display="https://finance.yahoo.com/quote/SPY/options?strike=422&amp;straddle=false" xr:uid="{76BC86BD-D2ED-46D7-9569-7D0E9963F763}"/>
    <hyperlink ref="A60" r:id="rId115" display="https://finance.yahoo.com/quote/SPY211029P00422500?p=SPY211029P00422500" xr:uid="{E6EBF15D-008E-4F6B-B90E-A120C8AC874B}"/>
    <hyperlink ref="C60" r:id="rId116" display="https://finance.yahoo.com/quote/SPY/options?strike=422.5&amp;straddle=false" xr:uid="{7ABBDF55-33A4-4588-81E0-FE97083EC587}"/>
    <hyperlink ref="A61" r:id="rId117" display="https://finance.yahoo.com/quote/SPY211029P00423000?p=SPY211029P00423000" xr:uid="{FEF09A3A-BFA0-47F7-B2F2-E70D456CDEAB}"/>
    <hyperlink ref="C61" r:id="rId118" display="https://finance.yahoo.com/quote/SPY/options?strike=423&amp;straddle=false" xr:uid="{4DA6385F-C778-4A5F-9FA5-46FC50A6A681}"/>
    <hyperlink ref="A62" r:id="rId119" display="https://finance.yahoo.com/quote/SPY211029P00424000?p=SPY211029P00424000" xr:uid="{F2C39303-882F-4930-BE44-8EB3A4B9FD17}"/>
    <hyperlink ref="C62" r:id="rId120" display="https://finance.yahoo.com/quote/SPY/options?strike=424&amp;straddle=false" xr:uid="{6AC38846-6797-4FAC-B146-AEF5CD9520EF}"/>
    <hyperlink ref="A63" r:id="rId121" display="https://finance.yahoo.com/quote/SPY211029P00425000?p=SPY211029P00425000" xr:uid="{407F6EC9-923C-4375-8328-231CFB05B39A}"/>
    <hyperlink ref="C63" r:id="rId122" display="https://finance.yahoo.com/quote/SPY/options?strike=425&amp;straddle=false" xr:uid="{3C0FAF43-447F-4D14-B899-35129DC220AA}"/>
    <hyperlink ref="A64" r:id="rId123" display="https://finance.yahoo.com/quote/SPY211029P00426000?p=SPY211029P00426000" xr:uid="{E5EBF860-D595-4E4D-8CF7-1C5E74682BFB}"/>
    <hyperlink ref="C64" r:id="rId124" display="https://finance.yahoo.com/quote/SPY/options?strike=426&amp;straddle=false" xr:uid="{0FD819E8-2A52-4903-A661-660EFE881C1C}"/>
    <hyperlink ref="A65" r:id="rId125" display="https://finance.yahoo.com/quote/SPY211029P00427000?p=SPY211029P00427000" xr:uid="{21E107CB-A36C-40F7-8AC9-7507B5A0A2FF}"/>
    <hyperlink ref="C65" r:id="rId126" display="https://finance.yahoo.com/quote/SPY/options?strike=427&amp;straddle=false" xr:uid="{5ED24234-1C33-4C9E-9FB7-EB24C127F521}"/>
    <hyperlink ref="A66" r:id="rId127" display="https://finance.yahoo.com/quote/SPY211029P00427500?p=SPY211029P00427500" xr:uid="{1BDA5A4D-DC62-47B8-9ABD-62871B648B96}"/>
    <hyperlink ref="C66" r:id="rId128" display="https://finance.yahoo.com/quote/SPY/options?strike=427.5&amp;straddle=false" xr:uid="{581041B5-BEFA-4E5D-AB59-6C729C9B3CD4}"/>
    <hyperlink ref="A67" r:id="rId129" display="https://finance.yahoo.com/quote/SPY211029P00428000?p=SPY211029P00428000" xr:uid="{FED732FE-F966-4C7A-9F84-D61525B128B6}"/>
    <hyperlink ref="C67" r:id="rId130" display="https://finance.yahoo.com/quote/SPY/options?strike=428&amp;straddle=false" xr:uid="{F01ADF35-D34D-4C1B-B79F-E61EE4FCE920}"/>
    <hyperlink ref="A68" r:id="rId131" display="https://finance.yahoo.com/quote/SPY211029P00429000?p=SPY211029P00429000" xr:uid="{195BA124-B499-4B1D-A59C-5BE56D8FA540}"/>
    <hyperlink ref="C68" r:id="rId132" display="https://finance.yahoo.com/quote/SPY/options?strike=429&amp;straddle=false" xr:uid="{06F7F059-4E4F-4E30-B85F-820C32BF4713}"/>
    <hyperlink ref="A69" r:id="rId133" display="https://finance.yahoo.com/quote/SPY211029P00430000?p=SPY211029P00430000" xr:uid="{469E0851-9039-4DC0-A826-EA0ABB8D8F09}"/>
    <hyperlink ref="C69" r:id="rId134" display="https://finance.yahoo.com/quote/SPY/options?strike=430&amp;straddle=false" xr:uid="{0E13D237-1925-4EDE-B358-A3C6EB167267}"/>
    <hyperlink ref="A70" r:id="rId135" display="https://finance.yahoo.com/quote/SPY211029P00431000?p=SPY211029P00431000" xr:uid="{78D0F1B2-737D-42E9-8A63-74B1A8098019}"/>
    <hyperlink ref="C70" r:id="rId136" display="https://finance.yahoo.com/quote/SPY/options?strike=431&amp;straddle=false" xr:uid="{DDEC34B2-ECB8-40D7-92D8-C257BD78AF84}"/>
    <hyperlink ref="A71" r:id="rId137" display="https://finance.yahoo.com/quote/SPY211029P00432000?p=SPY211029P00432000" xr:uid="{5D2D7208-DBE4-4182-8608-FC0A2AF66E3B}"/>
    <hyperlink ref="C71" r:id="rId138" display="https://finance.yahoo.com/quote/SPY/options?strike=432&amp;straddle=false" xr:uid="{DF533923-C260-4EB9-B482-BE2F77DFE051}"/>
    <hyperlink ref="A72" r:id="rId139" display="https://finance.yahoo.com/quote/SPY211029P00432500?p=SPY211029P00432500" xr:uid="{716139AF-411A-4137-B627-BACEF129E64E}"/>
    <hyperlink ref="C72" r:id="rId140" display="https://finance.yahoo.com/quote/SPY/options?strike=432.5&amp;straddle=false" xr:uid="{F25509B5-ACA9-4600-9FF9-07181B338C28}"/>
    <hyperlink ref="A73" r:id="rId141" display="https://finance.yahoo.com/quote/SPY211029P00433000?p=SPY211029P00433000" xr:uid="{3BC6B6DD-BF64-42B8-96AC-084957D8B8DC}"/>
    <hyperlink ref="C73" r:id="rId142" display="https://finance.yahoo.com/quote/SPY/options?strike=433&amp;straddle=false" xr:uid="{42C58F33-9391-471B-9BB4-24962365D04E}"/>
    <hyperlink ref="A74" r:id="rId143" display="https://finance.yahoo.com/quote/SPY211029P00434000?p=SPY211029P00434000" xr:uid="{234F4E10-2C2A-4727-BD32-2800D637726B}"/>
    <hyperlink ref="C74" r:id="rId144" display="https://finance.yahoo.com/quote/SPY/options?strike=434&amp;straddle=false" xr:uid="{F7A3A203-5205-45A8-9209-8FB698B6180D}"/>
    <hyperlink ref="A75" r:id="rId145" display="https://finance.yahoo.com/quote/SPY211029P00435000?p=SPY211029P00435000" xr:uid="{26500E4C-C7FD-4583-915E-CE84F1B1C96C}"/>
    <hyperlink ref="C75" r:id="rId146" display="https://finance.yahoo.com/quote/SPY/options?strike=435&amp;straddle=false" xr:uid="{604D0C44-08BC-48D0-94EB-ED2F0AD33BAE}"/>
    <hyperlink ref="A76" r:id="rId147" display="https://finance.yahoo.com/quote/SPY211029P00436000?p=SPY211029P00436000" xr:uid="{560090C9-E5DC-4DBA-A33A-16CC58E82573}"/>
    <hyperlink ref="C76" r:id="rId148" display="https://finance.yahoo.com/quote/SPY/options?strike=436&amp;straddle=false" xr:uid="{97541D10-908B-4EDC-9CF3-AB9E1E715BC6}"/>
    <hyperlink ref="A77" r:id="rId149" display="https://finance.yahoo.com/quote/SPY211029P00437000?p=SPY211029P00437000" xr:uid="{208A632F-1ECF-421B-8C9D-6DD2A7CE9090}"/>
    <hyperlink ref="C77" r:id="rId150" display="https://finance.yahoo.com/quote/SPY/options?strike=437&amp;straddle=false" xr:uid="{88C26126-5668-4224-B824-DB5ECCE01E69}"/>
    <hyperlink ref="A78" r:id="rId151" display="https://finance.yahoo.com/quote/SPY211029P00437500?p=SPY211029P00437500" xr:uid="{97D7D344-C01F-4A01-9AF5-A5C1D866437F}"/>
    <hyperlink ref="C78" r:id="rId152" display="https://finance.yahoo.com/quote/SPY/options?strike=437.5&amp;straddle=false" xr:uid="{8F85C813-158E-42CB-9DA1-31452A45CF64}"/>
    <hyperlink ref="A79" r:id="rId153" display="https://finance.yahoo.com/quote/SPY211029P00438000?p=SPY211029P00438000" xr:uid="{01D50881-AD85-44DF-9426-9AC687A3D956}"/>
    <hyperlink ref="C79" r:id="rId154" display="https://finance.yahoo.com/quote/SPY/options?strike=438&amp;straddle=false" xr:uid="{9AC8B4D2-D4C5-4139-B404-8A9E247923AE}"/>
    <hyperlink ref="A80" r:id="rId155" display="https://finance.yahoo.com/quote/SPY211029P00439000?p=SPY211029P00439000" xr:uid="{84DBB004-D162-48BC-9C73-0C52478DDE27}"/>
    <hyperlink ref="C80" r:id="rId156" display="https://finance.yahoo.com/quote/SPY/options?strike=439&amp;straddle=false" xr:uid="{E7C4E0BC-98D6-45F4-B6A9-C84CF5345695}"/>
    <hyperlink ref="A81" r:id="rId157" display="https://finance.yahoo.com/quote/SPY211029P00440000?p=SPY211029P00440000" xr:uid="{56D9C274-2650-48B3-A4CE-E1A50302CDDB}"/>
    <hyperlink ref="C81" r:id="rId158" display="https://finance.yahoo.com/quote/SPY/options?strike=440&amp;straddle=false" xr:uid="{D1EE6AE9-F022-4455-81D6-A1001CADE5A6}"/>
    <hyperlink ref="A82" r:id="rId159" display="https://finance.yahoo.com/quote/SPY211029P00441000?p=SPY211029P00441000" xr:uid="{CBCA26A0-DA9A-4942-9F7A-8214C306A48F}"/>
    <hyperlink ref="C82" r:id="rId160" display="https://finance.yahoo.com/quote/SPY/options?strike=441&amp;straddle=false" xr:uid="{09D0BFCC-0A4E-4196-B751-5DC7333F5200}"/>
    <hyperlink ref="A83" r:id="rId161" display="https://finance.yahoo.com/quote/SPY211029P00442000?p=SPY211029P00442000" xr:uid="{B127253A-2D00-42BC-948A-976502F67D17}"/>
    <hyperlink ref="C83" r:id="rId162" display="https://finance.yahoo.com/quote/SPY/options?strike=442&amp;straddle=false" xr:uid="{F766BD54-FAAA-4B53-8478-6E662D3C5B86}"/>
    <hyperlink ref="A84" r:id="rId163" display="https://finance.yahoo.com/quote/SPY211029P00442500?p=SPY211029P00442500" xr:uid="{92BAB63C-35A9-400A-89F5-EFFC1B1AB00E}"/>
    <hyperlink ref="C84" r:id="rId164" display="https://finance.yahoo.com/quote/SPY/options?strike=442.5&amp;straddle=false" xr:uid="{C6FBAA9E-F9AB-47E1-9337-20F12B0FC99F}"/>
    <hyperlink ref="A85" r:id="rId165" display="https://finance.yahoo.com/quote/SPY211029P00443000?p=SPY211029P00443000" xr:uid="{B86DCFCC-6F8D-4239-8F69-6CFE728BC4EA}"/>
    <hyperlink ref="C85" r:id="rId166" display="https://finance.yahoo.com/quote/SPY/options?strike=443&amp;straddle=false" xr:uid="{A1D61D49-422E-4D2C-A95B-9ED97992FAF2}"/>
    <hyperlink ref="A86" r:id="rId167" display="https://finance.yahoo.com/quote/SPY211029P00444000?p=SPY211029P00444000" xr:uid="{4F66650D-66B7-4CCB-BC47-2AA45E1BBA89}"/>
    <hyperlink ref="C86" r:id="rId168" display="https://finance.yahoo.com/quote/SPY/options?strike=444&amp;straddle=false" xr:uid="{10E5ABA3-B8A6-4726-A8F9-D58E09D7E05D}"/>
    <hyperlink ref="A87" r:id="rId169" display="https://finance.yahoo.com/quote/SPY211029P00445000?p=SPY211029P00445000" xr:uid="{D50ECD95-83EA-4729-A763-A15BE576757E}"/>
    <hyperlink ref="C87" r:id="rId170" display="https://finance.yahoo.com/quote/SPY/options?strike=445&amp;straddle=false" xr:uid="{6D9DE834-A0CB-4541-AE17-8BF15214BE1C}"/>
    <hyperlink ref="A88" r:id="rId171" display="https://finance.yahoo.com/quote/SPY211029P00446000?p=SPY211029P00446000" xr:uid="{463E8F16-6E24-4145-A7F4-B159414285BB}"/>
    <hyperlink ref="C88" r:id="rId172" display="https://finance.yahoo.com/quote/SPY/options?strike=446&amp;straddle=false" xr:uid="{95CF40CB-2E8A-4098-8DA7-6A745A7431D7}"/>
    <hyperlink ref="A89" r:id="rId173" display="https://finance.yahoo.com/quote/SPY211029P00447000?p=SPY211029P00447000" xr:uid="{7A34C836-2D55-42FE-9A1B-2D1153AEFABB}"/>
    <hyperlink ref="C89" r:id="rId174" display="https://finance.yahoo.com/quote/SPY/options?strike=447&amp;straddle=false" xr:uid="{DEF0459F-87F4-47FF-A867-17F03AF1C965}"/>
    <hyperlink ref="A90" r:id="rId175" display="https://finance.yahoo.com/quote/SPY211029P00447500?p=SPY211029P00447500" xr:uid="{90690932-2414-457F-AEB8-A76B68988F4F}"/>
    <hyperlink ref="C90" r:id="rId176" display="https://finance.yahoo.com/quote/SPY/options?strike=447.5&amp;straddle=false" xr:uid="{F1D03384-ECE4-4F46-98BB-FD81BEED3711}"/>
    <hyperlink ref="A91" r:id="rId177" display="https://finance.yahoo.com/quote/SPY211029P00448000?p=SPY211029P00448000" xr:uid="{7B3C3E0B-37F7-4F91-A369-69F764811451}"/>
    <hyperlink ref="C91" r:id="rId178" display="https://finance.yahoo.com/quote/SPY/options?strike=448&amp;straddle=false" xr:uid="{64105567-07E9-4042-A91D-890A987027CF}"/>
    <hyperlink ref="A92" r:id="rId179" display="https://finance.yahoo.com/quote/SPY211029P00449000?p=SPY211029P00449000" xr:uid="{7994614F-C2C8-43A3-9F13-59455CC1E4C8}"/>
    <hyperlink ref="C92" r:id="rId180" display="https://finance.yahoo.com/quote/SPY/options?strike=449&amp;straddle=false" xr:uid="{193AA0A0-8EB9-4A6A-8A36-AD770D4AB8D2}"/>
    <hyperlink ref="A93" r:id="rId181" display="https://finance.yahoo.com/quote/SPY211029P00450000?p=SPY211029P00450000" xr:uid="{3A557EBB-A2F2-4763-A25D-8CAE7F202029}"/>
    <hyperlink ref="C93" r:id="rId182" display="https://finance.yahoo.com/quote/SPY/options?strike=450&amp;straddle=false" xr:uid="{83E8BE8C-9BDB-42FD-9FEC-879446FCD882}"/>
    <hyperlink ref="A94" r:id="rId183" display="https://finance.yahoo.com/quote/SPY211029P00451000?p=SPY211029P00451000" xr:uid="{0BB4E126-A536-4748-8259-43A33D1A80CE}"/>
    <hyperlink ref="C94" r:id="rId184" display="https://finance.yahoo.com/quote/SPY/options?strike=451&amp;straddle=false" xr:uid="{57C55870-36AB-4173-8508-83C63C8AF3AD}"/>
    <hyperlink ref="A95" r:id="rId185" display="https://finance.yahoo.com/quote/SPY211029P00452000?p=SPY211029P00452000" xr:uid="{6E5D09FB-935B-403C-9C32-A9DAACAA8C95}"/>
    <hyperlink ref="C95" r:id="rId186" display="https://finance.yahoo.com/quote/SPY/options?strike=452&amp;straddle=false" xr:uid="{5B3790AB-C33C-4135-922C-EE6966AF4957}"/>
    <hyperlink ref="A96" r:id="rId187" display="https://finance.yahoo.com/quote/SPY211029P00452500?p=SPY211029P00452500" xr:uid="{ECE37AD8-9C2E-4542-8FF0-38340C72B020}"/>
    <hyperlink ref="C96" r:id="rId188" display="https://finance.yahoo.com/quote/SPY/options?strike=452.5&amp;straddle=false" xr:uid="{157401E2-DDFC-460C-9AB7-10AA6FCD54C1}"/>
    <hyperlink ref="A97" r:id="rId189" display="https://finance.yahoo.com/quote/SPY211029P00453000?p=SPY211029P00453000" xr:uid="{0E0E70BB-DE21-4A66-8A35-53AC9C2EC480}"/>
    <hyperlink ref="C97" r:id="rId190" display="https://finance.yahoo.com/quote/SPY/options?strike=453&amp;straddle=false" xr:uid="{A0116B4A-58BE-4E69-8059-F6D1291A77B4}"/>
    <hyperlink ref="A98" r:id="rId191" display="https://finance.yahoo.com/quote/SPY211029P00454000?p=SPY211029P00454000" xr:uid="{C9B81112-D07E-4415-8E30-1A41732D881B}"/>
    <hyperlink ref="C98" r:id="rId192" display="https://finance.yahoo.com/quote/SPY/options?strike=454&amp;straddle=false" xr:uid="{0AB8C824-B428-4ED0-8B07-49D387EB3C6E}"/>
    <hyperlink ref="A99" r:id="rId193" display="https://finance.yahoo.com/quote/SPY211029P00455000?p=SPY211029P00455000" xr:uid="{7974537A-1B17-4CF7-90F2-2A39A48E9761}"/>
    <hyperlink ref="C99" r:id="rId194" display="https://finance.yahoo.com/quote/SPY/options?strike=455&amp;straddle=false" xr:uid="{5C3E73D7-354D-401A-A168-16EE7A863D9F}"/>
    <hyperlink ref="A100" r:id="rId195" display="https://finance.yahoo.com/quote/SPY211029P00456000?p=SPY211029P00456000" xr:uid="{C192D148-78EB-497B-AE8C-6245C5F93DB9}"/>
    <hyperlink ref="C100" r:id="rId196" display="https://finance.yahoo.com/quote/SPY/options?strike=456&amp;straddle=false" xr:uid="{20CA106D-675F-40E3-B27C-88B129F720A4}"/>
    <hyperlink ref="A101" r:id="rId197" display="https://finance.yahoo.com/quote/SPY211029P00457000?p=SPY211029P00457000" xr:uid="{19A44EF9-E1B1-4652-90A8-9CD11BC16B14}"/>
    <hyperlink ref="C101" r:id="rId198" display="https://finance.yahoo.com/quote/SPY/options?strike=457&amp;straddle=false" xr:uid="{EAD6F80E-B4E6-4523-9B81-CF9B190CD022}"/>
    <hyperlink ref="A102" r:id="rId199" display="https://finance.yahoo.com/quote/SPY211029P00457500?p=SPY211029P00457500" xr:uid="{13A27663-3210-4A08-9CAB-9EFDBD59C685}"/>
    <hyperlink ref="C102" r:id="rId200" display="https://finance.yahoo.com/quote/SPY/options?strike=457.5&amp;straddle=false" xr:uid="{7CF97746-C11A-48DF-A6CB-4790D036E564}"/>
    <hyperlink ref="A103" r:id="rId201" display="https://finance.yahoo.com/quote/SPY211029P00458000?p=SPY211029P00458000" xr:uid="{1E568589-6BDB-48D6-8BDA-D3BC19579BDB}"/>
    <hyperlink ref="C103" r:id="rId202" display="https://finance.yahoo.com/quote/SPY/options?strike=458&amp;straddle=false" xr:uid="{A6AFD612-9A19-4196-BDE6-2E9C8BEB51A2}"/>
    <hyperlink ref="A104" r:id="rId203" display="https://finance.yahoo.com/quote/SPY211029P00459000?p=SPY211029P00459000" xr:uid="{3898ABE5-C717-45AC-8216-741358EE52F0}"/>
    <hyperlink ref="C104" r:id="rId204" display="https://finance.yahoo.com/quote/SPY/options?strike=459&amp;straddle=false" xr:uid="{C9DCDFBF-987A-435B-BC79-FA87F2F33892}"/>
    <hyperlink ref="A105" r:id="rId205" display="https://finance.yahoo.com/quote/SPY211029P00460000?p=SPY211029P00460000" xr:uid="{6359EB90-E5A5-41AC-B565-27094A4C6E84}"/>
    <hyperlink ref="C105" r:id="rId206" display="https://finance.yahoo.com/quote/SPY/options?strike=460&amp;straddle=false" xr:uid="{518060E1-D650-41B1-9C8F-6AFE36C091E4}"/>
    <hyperlink ref="A106" r:id="rId207" display="https://finance.yahoo.com/quote/SPY211029P00462000?p=SPY211029P00462000" xr:uid="{E3BCE074-D3FC-4A8C-B5F4-D07BCBBCB58B}"/>
    <hyperlink ref="C106" r:id="rId208" display="https://finance.yahoo.com/quote/SPY/options?strike=462&amp;straddle=false" xr:uid="{18CF8F42-1F49-4E09-A6A4-B4B08B59C04F}"/>
    <hyperlink ref="A107" r:id="rId209" display="https://finance.yahoo.com/quote/SPY211029P00462500?p=SPY211029P00462500" xr:uid="{7BC495E0-A19C-4C1D-BFED-BCBABEE560A6}"/>
    <hyperlink ref="C107" r:id="rId210" display="https://finance.yahoo.com/quote/SPY/options?strike=462.5&amp;straddle=false" xr:uid="{67A80063-0022-4BB1-BE7A-BFACA9E5562F}"/>
    <hyperlink ref="A108" r:id="rId211" display="https://finance.yahoo.com/quote/SPY211029P00464000?p=SPY211029P00464000" xr:uid="{8BA3FB34-1A83-4BB7-B945-71276E696727}"/>
    <hyperlink ref="C108" r:id="rId212" display="https://finance.yahoo.com/quote/SPY/options?strike=464&amp;straddle=false" xr:uid="{C5BB1C48-13AE-4340-83E0-A53793FF9ED8}"/>
    <hyperlink ref="A109" r:id="rId213" display="https://finance.yahoo.com/quote/SPY211029P00465000?p=SPY211029P00465000" xr:uid="{94F56146-8943-4139-8941-FA02FB9D174F}"/>
    <hyperlink ref="C109" r:id="rId214" display="https://finance.yahoo.com/quote/SPY/options?strike=465&amp;straddle=false" xr:uid="{439169B7-400B-40E6-B1A4-BB3DB5AE177C}"/>
    <hyperlink ref="A110" r:id="rId215" display="https://finance.yahoo.com/quote/SPY211029P00466000?p=SPY211029P00466000" xr:uid="{1CFE5821-3176-4604-8715-1B8E688B69F5}"/>
    <hyperlink ref="C110" r:id="rId216" display="https://finance.yahoo.com/quote/SPY/options?strike=466&amp;straddle=false" xr:uid="{FAE34145-F852-4A86-ABFA-67E4DF605A81}"/>
    <hyperlink ref="A111" r:id="rId217" display="https://finance.yahoo.com/quote/SPY211029P00467500?p=SPY211029P00467500" xr:uid="{AE2C9A22-6F65-49E0-9492-3C56852EFBAF}"/>
    <hyperlink ref="C111" r:id="rId218" display="https://finance.yahoo.com/quote/SPY/options?strike=467.5&amp;straddle=false" xr:uid="{43D1D9B9-56DD-4EEF-A72D-AC230D835BAB}"/>
    <hyperlink ref="A112" r:id="rId219" display="https://finance.yahoo.com/quote/SPY211029P00468000?p=SPY211029P00468000" xr:uid="{818D7DA9-B37C-4A38-BC93-C031EC5A8236}"/>
    <hyperlink ref="C112" r:id="rId220" display="https://finance.yahoo.com/quote/SPY/options?strike=468&amp;straddle=false" xr:uid="{639797AB-43DB-4DF0-92CD-B3A65F690A66}"/>
    <hyperlink ref="A113" r:id="rId221" display="https://finance.yahoo.com/quote/SPY211029P00470000?p=SPY211029P00470000" xr:uid="{107816CE-3AB7-433B-A333-756FC104C837}"/>
    <hyperlink ref="C113" r:id="rId222" display="https://finance.yahoo.com/quote/SPY/options?strike=470&amp;straddle=false" xr:uid="{E239788E-CF00-4960-B86A-07633E023550}"/>
    <hyperlink ref="A114" r:id="rId223" display="https://finance.yahoo.com/quote/SPY211029P00480000?p=SPY211029P00480000" xr:uid="{96EC25E0-7AE5-4419-B749-B2D22423843C}"/>
    <hyperlink ref="C114" r:id="rId224" display="https://finance.yahoo.com/quote/SPY/options?strike=480&amp;straddle=false" xr:uid="{73776199-6E09-4E2B-B0A8-1B24FA8B00A0}"/>
    <hyperlink ref="A115" r:id="rId225" display="https://finance.yahoo.com/quote/SPY211029P00490000?p=SPY211029P00490000" xr:uid="{334908E4-003C-4221-AD5E-52D284F15741}"/>
    <hyperlink ref="C115" r:id="rId226" display="https://finance.yahoo.com/quote/SPY/options?strike=490&amp;straddle=false" xr:uid="{F53BDF53-CD01-4705-AC5C-4B3F43A55864}"/>
    <hyperlink ref="A116" r:id="rId227" display="https://finance.yahoo.com/quote/SPY211029P00500000?p=SPY211029P00500000" xr:uid="{803862B5-67EA-4247-98BF-AA3DFECBFF3E}"/>
    <hyperlink ref="C116" r:id="rId228" display="https://finance.yahoo.com/quote/SPY/options?strike=500&amp;straddle=false" xr:uid="{CDD75A53-A329-405A-879B-ADC5084DD954}"/>
  </hyperlinks>
  <pageMargins left="0.7" right="0.7" top="0.75" bottom="0.75" header="0.3" footer="0.3"/>
  <drawing r:id="rId22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DA9D-3530-48E6-89E9-6064A8BF7557}">
  <dimension ref="A1:K218"/>
  <sheetViews>
    <sheetView topLeftCell="B83" workbookViewId="0">
      <selection activeCell="B104" sqref="B104"/>
    </sheetView>
  </sheetViews>
  <sheetFormatPr defaultRowHeight="14.5" x14ac:dyDescent="0.35"/>
  <cols>
    <col min="1" max="1" width="23.26953125" style="1" bestFit="1" customWidth="1"/>
    <col min="2" max="2" width="25.453125" style="1" customWidth="1"/>
    <col min="3" max="11" width="9.1796875" style="1"/>
  </cols>
  <sheetData>
    <row r="1" spans="1:11" x14ac:dyDescent="0.35">
      <c r="A1" s="39" t="s">
        <v>23</v>
      </c>
      <c r="B1"/>
      <c r="C1"/>
      <c r="D1"/>
      <c r="E1"/>
      <c r="F1"/>
      <c r="G1"/>
      <c r="H1"/>
      <c r="I1"/>
      <c r="J1"/>
      <c r="K1"/>
    </row>
    <row r="2" spans="1:11" ht="25" customHeight="1" thickBot="1" x14ac:dyDescent="0.4">
      <c r="A2" s="40" t="s">
        <v>0</v>
      </c>
      <c r="B2" s="41" t="s">
        <v>1</v>
      </c>
      <c r="C2" s="42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K2" s="41" t="s">
        <v>10</v>
      </c>
    </row>
    <row r="3" spans="1:11" s="1" customFormat="1" ht="15" customHeight="1" thickBot="1" x14ac:dyDescent="0.35">
      <c r="A3" s="20" t="s">
        <v>24</v>
      </c>
      <c r="B3" s="21" t="s">
        <v>25</v>
      </c>
      <c r="C3" s="22">
        <v>375</v>
      </c>
      <c r="D3" s="21">
        <v>71.44</v>
      </c>
      <c r="E3" s="21">
        <v>59.51</v>
      </c>
      <c r="F3" s="21">
        <v>60.06</v>
      </c>
      <c r="G3" s="21">
        <v>0</v>
      </c>
      <c r="H3" s="21" t="s">
        <v>11</v>
      </c>
      <c r="I3" s="21">
        <v>3</v>
      </c>
      <c r="J3" s="21">
        <v>3</v>
      </c>
      <c r="K3" s="23">
        <v>0.316</v>
      </c>
    </row>
    <row r="4" spans="1:11" s="1" customFormat="1" ht="15" customHeight="1" thickBot="1" x14ac:dyDescent="0.35">
      <c r="A4" s="20" t="s">
        <v>26</v>
      </c>
      <c r="B4" s="21" t="s">
        <v>27</v>
      </c>
      <c r="C4" s="22">
        <v>380</v>
      </c>
      <c r="D4" s="21">
        <v>56.98</v>
      </c>
      <c r="E4" s="21">
        <v>54.82</v>
      </c>
      <c r="F4" s="21">
        <v>55.36</v>
      </c>
      <c r="G4" s="35">
        <v>3.08</v>
      </c>
      <c r="H4" s="36">
        <v>5.7099999999999998E-2</v>
      </c>
      <c r="I4" s="21">
        <v>1</v>
      </c>
      <c r="J4" s="21">
        <v>5</v>
      </c>
      <c r="K4" s="23">
        <v>0.308</v>
      </c>
    </row>
    <row r="5" spans="1:11" s="1" customFormat="1" ht="15" customHeight="1" thickBot="1" x14ac:dyDescent="0.35">
      <c r="A5" s="20" t="s">
        <v>28</v>
      </c>
      <c r="B5" s="21" t="s">
        <v>29</v>
      </c>
      <c r="C5" s="22">
        <v>385</v>
      </c>
      <c r="D5" s="21">
        <v>62.31</v>
      </c>
      <c r="E5" s="21">
        <v>50.18</v>
      </c>
      <c r="F5" s="21">
        <v>50.72</v>
      </c>
      <c r="G5" s="21">
        <v>0</v>
      </c>
      <c r="H5" s="21" t="s">
        <v>11</v>
      </c>
      <c r="I5" s="21">
        <v>1</v>
      </c>
      <c r="J5" s="21">
        <v>7</v>
      </c>
      <c r="K5" s="23">
        <v>0.2999</v>
      </c>
    </row>
    <row r="6" spans="1:11" s="1" customFormat="1" ht="15" customHeight="1" thickBot="1" x14ac:dyDescent="0.35">
      <c r="A6" s="20" t="s">
        <v>30</v>
      </c>
      <c r="B6" s="21" t="s">
        <v>31</v>
      </c>
      <c r="C6" s="22">
        <v>390</v>
      </c>
      <c r="D6" s="21">
        <v>55.4</v>
      </c>
      <c r="E6" s="21">
        <v>45.61</v>
      </c>
      <c r="F6" s="21">
        <v>46.11</v>
      </c>
      <c r="G6" s="21">
        <v>0</v>
      </c>
      <c r="H6" s="21" t="s">
        <v>11</v>
      </c>
      <c r="I6" s="21" t="s">
        <v>11</v>
      </c>
      <c r="J6" s="21">
        <v>8</v>
      </c>
      <c r="K6" s="23">
        <v>0.2903</v>
      </c>
    </row>
    <row r="7" spans="1:11" s="1" customFormat="1" ht="15" customHeight="1" thickBot="1" x14ac:dyDescent="0.35">
      <c r="A7" s="20" t="s">
        <v>32</v>
      </c>
      <c r="B7" s="21" t="s">
        <v>33</v>
      </c>
      <c r="C7" s="22">
        <v>395</v>
      </c>
      <c r="D7" s="21">
        <v>42.85</v>
      </c>
      <c r="E7" s="21">
        <v>41.11</v>
      </c>
      <c r="F7" s="21">
        <v>41.61</v>
      </c>
      <c r="G7" s="21">
        <v>0</v>
      </c>
      <c r="H7" s="21" t="s">
        <v>11</v>
      </c>
      <c r="I7" s="21">
        <v>2</v>
      </c>
      <c r="J7" s="21">
        <v>3</v>
      </c>
      <c r="K7" s="23">
        <v>0.28170000000000001</v>
      </c>
    </row>
    <row r="8" spans="1:11" s="1" customFormat="1" ht="15" customHeight="1" thickBot="1" x14ac:dyDescent="0.35">
      <c r="A8" s="20" t="s">
        <v>34</v>
      </c>
      <c r="B8" s="21" t="s">
        <v>35</v>
      </c>
      <c r="C8" s="22">
        <v>400</v>
      </c>
      <c r="D8" s="21">
        <v>40</v>
      </c>
      <c r="E8" s="21">
        <v>36.81</v>
      </c>
      <c r="F8" s="21">
        <v>37.159999999999997</v>
      </c>
      <c r="G8" s="35">
        <v>4</v>
      </c>
      <c r="H8" s="36">
        <v>0.1111</v>
      </c>
      <c r="I8" s="21">
        <v>2</v>
      </c>
      <c r="J8" s="21">
        <v>17</v>
      </c>
      <c r="K8" s="23">
        <v>0.2717</v>
      </c>
    </row>
    <row r="9" spans="1:11" s="1" customFormat="1" ht="15" customHeight="1" thickBot="1" x14ac:dyDescent="0.35">
      <c r="A9" s="20" t="s">
        <v>36</v>
      </c>
      <c r="B9" s="21" t="s">
        <v>37</v>
      </c>
      <c r="C9" s="22">
        <v>402</v>
      </c>
      <c r="D9" s="21">
        <v>34.74</v>
      </c>
      <c r="E9" s="21">
        <v>35.06</v>
      </c>
      <c r="F9" s="21">
        <v>35.42</v>
      </c>
      <c r="G9" s="21">
        <v>0</v>
      </c>
      <c r="H9" s="21" t="s">
        <v>11</v>
      </c>
      <c r="I9" s="21">
        <v>10</v>
      </c>
      <c r="J9" s="21">
        <v>12</v>
      </c>
      <c r="K9" s="23">
        <v>0.26800000000000002</v>
      </c>
    </row>
    <row r="10" spans="1:11" s="1" customFormat="1" ht="15" customHeight="1" thickBot="1" x14ac:dyDescent="0.35">
      <c r="A10" s="20" t="s">
        <v>38</v>
      </c>
      <c r="B10" s="21" t="s">
        <v>31</v>
      </c>
      <c r="C10" s="22">
        <v>403</v>
      </c>
      <c r="D10" s="21">
        <v>41.85</v>
      </c>
      <c r="E10" s="21">
        <v>34.21</v>
      </c>
      <c r="F10" s="21">
        <v>34.56</v>
      </c>
      <c r="G10" s="21">
        <v>0</v>
      </c>
      <c r="H10" s="21" t="s">
        <v>11</v>
      </c>
      <c r="I10" s="21" t="s">
        <v>11</v>
      </c>
      <c r="J10" s="21">
        <v>1</v>
      </c>
      <c r="K10" s="23">
        <v>0.26619999999999999</v>
      </c>
    </row>
    <row r="11" spans="1:11" s="1" customFormat="1" ht="15" customHeight="1" thickBot="1" x14ac:dyDescent="0.35">
      <c r="A11" s="20" t="s">
        <v>39</v>
      </c>
      <c r="B11" s="21" t="s">
        <v>40</v>
      </c>
      <c r="C11" s="22">
        <v>405</v>
      </c>
      <c r="D11" s="21">
        <v>31.09</v>
      </c>
      <c r="E11" s="21">
        <v>32.54</v>
      </c>
      <c r="F11" s="21">
        <v>32.78</v>
      </c>
      <c r="G11" s="21">
        <v>0</v>
      </c>
      <c r="H11" s="21" t="s">
        <v>11</v>
      </c>
      <c r="I11" s="21">
        <v>1</v>
      </c>
      <c r="J11" s="21">
        <v>18</v>
      </c>
      <c r="K11" s="23">
        <v>0.26069999999999999</v>
      </c>
    </row>
    <row r="12" spans="1:11" s="1" customFormat="1" ht="15" customHeight="1" thickBot="1" x14ac:dyDescent="0.35">
      <c r="A12" s="20" t="s">
        <v>41</v>
      </c>
      <c r="B12" s="21" t="s">
        <v>42</v>
      </c>
      <c r="C12" s="22">
        <v>406</v>
      </c>
      <c r="D12" s="21">
        <v>32.15</v>
      </c>
      <c r="E12" s="21">
        <v>31.68</v>
      </c>
      <c r="F12" s="21">
        <v>31.93</v>
      </c>
      <c r="G12" s="21">
        <v>0</v>
      </c>
      <c r="H12" s="21" t="s">
        <v>11</v>
      </c>
      <c r="I12" s="21">
        <v>10</v>
      </c>
      <c r="J12" s="21">
        <v>21</v>
      </c>
      <c r="K12" s="23">
        <v>0.25879999999999997</v>
      </c>
    </row>
    <row r="13" spans="1:11" s="1" customFormat="1" ht="15" customHeight="1" thickBot="1" x14ac:dyDescent="0.35">
      <c r="A13" s="20" t="s">
        <v>43</v>
      </c>
      <c r="B13" s="21" t="s">
        <v>31</v>
      </c>
      <c r="C13" s="22">
        <v>408</v>
      </c>
      <c r="D13" s="21">
        <v>38</v>
      </c>
      <c r="E13" s="21">
        <v>30</v>
      </c>
      <c r="F13" s="21">
        <v>30.23</v>
      </c>
      <c r="G13" s="21">
        <v>0</v>
      </c>
      <c r="H13" s="21" t="s">
        <v>11</v>
      </c>
      <c r="I13" s="21" t="s">
        <v>11</v>
      </c>
      <c r="J13" s="21">
        <v>3</v>
      </c>
      <c r="K13" s="23">
        <v>0.25459999999999999</v>
      </c>
    </row>
    <row r="14" spans="1:11" s="1" customFormat="1" ht="15" customHeight="1" thickBot="1" x14ac:dyDescent="0.35">
      <c r="A14" s="20" t="s">
        <v>44</v>
      </c>
      <c r="B14" s="21" t="s">
        <v>45</v>
      </c>
      <c r="C14" s="22">
        <v>409</v>
      </c>
      <c r="D14" s="21">
        <v>30.78</v>
      </c>
      <c r="E14" s="21">
        <v>29.16</v>
      </c>
      <c r="F14" s="21">
        <v>29.39</v>
      </c>
      <c r="G14" s="21">
        <v>0</v>
      </c>
      <c r="H14" s="21" t="s">
        <v>11</v>
      </c>
      <c r="I14" s="21">
        <v>4</v>
      </c>
      <c r="J14" s="21">
        <v>6</v>
      </c>
      <c r="K14" s="23">
        <v>0.25259999999999999</v>
      </c>
    </row>
    <row r="15" spans="1:11" s="1" customFormat="1" ht="15" customHeight="1" thickBot="1" x14ac:dyDescent="0.35">
      <c r="A15" s="20" t="s">
        <v>46</v>
      </c>
      <c r="B15" s="21" t="s">
        <v>47</v>
      </c>
      <c r="C15" s="22">
        <v>410</v>
      </c>
      <c r="D15" s="21">
        <v>30.25</v>
      </c>
      <c r="E15" s="21">
        <v>28.33</v>
      </c>
      <c r="F15" s="21">
        <v>28.55</v>
      </c>
      <c r="G15" s="35">
        <v>3.5</v>
      </c>
      <c r="H15" s="36">
        <v>0.1308</v>
      </c>
      <c r="I15" s="21">
        <v>1</v>
      </c>
      <c r="J15" s="21">
        <v>91</v>
      </c>
      <c r="K15" s="23">
        <v>0.25040000000000001</v>
      </c>
    </row>
    <row r="16" spans="1:11" s="1" customFormat="1" ht="15" customHeight="1" thickBot="1" x14ac:dyDescent="0.35">
      <c r="A16" s="20" t="s">
        <v>48</v>
      </c>
      <c r="B16" s="21" t="s">
        <v>49</v>
      </c>
      <c r="C16" s="22">
        <v>414</v>
      </c>
      <c r="D16" s="21">
        <v>26.76</v>
      </c>
      <c r="E16" s="21">
        <v>25.05</v>
      </c>
      <c r="F16" s="21">
        <v>25.26</v>
      </c>
      <c r="G16" s="21">
        <v>0</v>
      </c>
      <c r="H16" s="21" t="s">
        <v>11</v>
      </c>
      <c r="I16" s="21">
        <v>3</v>
      </c>
      <c r="J16" s="21">
        <v>4</v>
      </c>
      <c r="K16" s="23">
        <v>0.2417</v>
      </c>
    </row>
    <row r="17" spans="1:11" s="1" customFormat="1" ht="15" customHeight="1" thickBot="1" x14ac:dyDescent="0.35">
      <c r="A17" s="20" t="s">
        <v>50</v>
      </c>
      <c r="B17" s="21" t="s">
        <v>51</v>
      </c>
      <c r="C17" s="22">
        <v>415</v>
      </c>
      <c r="D17" s="21">
        <v>26.13</v>
      </c>
      <c r="E17" s="21">
        <v>24.25</v>
      </c>
      <c r="F17" s="21">
        <v>24.46</v>
      </c>
      <c r="G17" s="35">
        <v>1.91</v>
      </c>
      <c r="H17" s="36">
        <v>7.8899999999999998E-2</v>
      </c>
      <c r="I17" s="21">
        <v>84</v>
      </c>
      <c r="J17" s="21">
        <v>115</v>
      </c>
      <c r="K17" s="23">
        <v>0.2397</v>
      </c>
    </row>
    <row r="18" spans="1:11" s="1" customFormat="1" ht="15" customHeight="1" thickBot="1" x14ac:dyDescent="0.35">
      <c r="A18" s="20" t="s">
        <v>52</v>
      </c>
      <c r="B18" s="21" t="s">
        <v>53</v>
      </c>
      <c r="C18" s="22">
        <v>416</v>
      </c>
      <c r="D18" s="21">
        <v>25.8</v>
      </c>
      <c r="E18" s="21">
        <v>23.45</v>
      </c>
      <c r="F18" s="21">
        <v>23.65</v>
      </c>
      <c r="G18" s="21">
        <v>0</v>
      </c>
      <c r="H18" s="21" t="s">
        <v>11</v>
      </c>
      <c r="I18" s="21">
        <v>3</v>
      </c>
      <c r="J18" s="21">
        <v>6</v>
      </c>
      <c r="K18" s="23">
        <v>0.23730000000000001</v>
      </c>
    </row>
    <row r="19" spans="1:11" s="1" customFormat="1" ht="15" customHeight="1" thickBot="1" x14ac:dyDescent="0.35">
      <c r="A19" s="20" t="s">
        <v>54</v>
      </c>
      <c r="B19" s="21" t="s">
        <v>55</v>
      </c>
      <c r="C19" s="22">
        <v>417.5</v>
      </c>
      <c r="D19" s="21">
        <v>22.77</v>
      </c>
      <c r="E19" s="21">
        <v>22.26</v>
      </c>
      <c r="F19" s="21">
        <v>22.46</v>
      </c>
      <c r="G19" s="21">
        <v>0</v>
      </c>
      <c r="H19" s="21" t="s">
        <v>11</v>
      </c>
      <c r="I19" s="21">
        <v>7</v>
      </c>
      <c r="J19" s="21">
        <v>19</v>
      </c>
      <c r="K19" s="23">
        <v>0.2339</v>
      </c>
    </row>
    <row r="20" spans="1:11" s="1" customFormat="1" ht="15" customHeight="1" thickBot="1" x14ac:dyDescent="0.35">
      <c r="A20" s="20" t="s">
        <v>56</v>
      </c>
      <c r="B20" s="21" t="s">
        <v>57</v>
      </c>
      <c r="C20" s="22">
        <v>420</v>
      </c>
      <c r="D20" s="21">
        <v>21.3</v>
      </c>
      <c r="E20" s="21">
        <v>20.309999999999999</v>
      </c>
      <c r="F20" s="21">
        <v>20.5</v>
      </c>
      <c r="G20" s="35">
        <v>0.46</v>
      </c>
      <c r="H20" s="36">
        <v>2.2100000000000002E-2</v>
      </c>
      <c r="I20" s="21">
        <v>20</v>
      </c>
      <c r="J20" s="21">
        <v>27</v>
      </c>
      <c r="K20" s="23">
        <v>0.22789999999999999</v>
      </c>
    </row>
    <row r="21" spans="1:11" s="1" customFormat="1" ht="15" customHeight="1" thickBot="1" x14ac:dyDescent="0.35">
      <c r="A21" s="20" t="s">
        <v>58</v>
      </c>
      <c r="B21" s="21" t="s">
        <v>59</v>
      </c>
      <c r="C21" s="22">
        <v>421</v>
      </c>
      <c r="D21" s="21">
        <v>21.27</v>
      </c>
      <c r="E21" s="21">
        <v>19.54</v>
      </c>
      <c r="F21" s="21">
        <v>19.73</v>
      </c>
      <c r="G21" s="29">
        <v>-4.62</v>
      </c>
      <c r="H21" s="30">
        <v>-0.1784</v>
      </c>
      <c r="I21" s="21">
        <v>6</v>
      </c>
      <c r="J21" s="21">
        <v>8</v>
      </c>
      <c r="K21" s="23">
        <v>0.22550000000000001</v>
      </c>
    </row>
    <row r="22" spans="1:11" s="1" customFormat="1" ht="15" customHeight="1" thickBot="1" x14ac:dyDescent="0.35">
      <c r="A22" s="20" t="s">
        <v>60</v>
      </c>
      <c r="B22" s="21" t="s">
        <v>61</v>
      </c>
      <c r="C22" s="22">
        <v>422.5</v>
      </c>
      <c r="D22" s="21">
        <v>24.35</v>
      </c>
      <c r="E22" s="21">
        <v>18.399999999999999</v>
      </c>
      <c r="F22" s="21">
        <v>18.579999999999998</v>
      </c>
      <c r="G22" s="21">
        <v>0</v>
      </c>
      <c r="H22" s="21" t="s">
        <v>11</v>
      </c>
      <c r="I22" s="21">
        <v>14</v>
      </c>
      <c r="J22" s="21">
        <v>29</v>
      </c>
      <c r="K22" s="23">
        <v>0.22170000000000001</v>
      </c>
    </row>
    <row r="23" spans="1:11" s="1" customFormat="1" ht="15" customHeight="1" thickBot="1" x14ac:dyDescent="0.35">
      <c r="A23" s="20" t="s">
        <v>62</v>
      </c>
      <c r="B23" s="21" t="s">
        <v>63</v>
      </c>
      <c r="C23" s="22">
        <v>424</v>
      </c>
      <c r="D23" s="21">
        <v>19.12</v>
      </c>
      <c r="E23" s="21">
        <v>17.28</v>
      </c>
      <c r="F23" s="21">
        <v>17.45</v>
      </c>
      <c r="G23" s="35">
        <v>1.88</v>
      </c>
      <c r="H23" s="36">
        <v>0.109</v>
      </c>
      <c r="I23" s="21">
        <v>3</v>
      </c>
      <c r="J23" s="21">
        <v>8</v>
      </c>
      <c r="K23" s="23">
        <v>0.21790000000000001</v>
      </c>
    </row>
    <row r="24" spans="1:11" s="1" customFormat="1" ht="15" customHeight="1" thickBot="1" x14ac:dyDescent="0.35">
      <c r="A24" s="20" t="s">
        <v>64</v>
      </c>
      <c r="B24" s="21" t="s">
        <v>65</v>
      </c>
      <c r="C24" s="22">
        <v>425</v>
      </c>
      <c r="D24" s="21">
        <v>17.420000000000002</v>
      </c>
      <c r="E24" s="21">
        <v>16.54</v>
      </c>
      <c r="F24" s="21">
        <v>16.71</v>
      </c>
      <c r="G24" s="29">
        <v>-0.41</v>
      </c>
      <c r="H24" s="30">
        <v>-2.3E-2</v>
      </c>
      <c r="I24" s="21">
        <v>31</v>
      </c>
      <c r="J24" s="21">
        <v>126</v>
      </c>
      <c r="K24" s="23">
        <v>0.21529999999999999</v>
      </c>
    </row>
    <row r="25" spans="1:11" s="1" customFormat="1" ht="15" customHeight="1" thickBot="1" x14ac:dyDescent="0.35">
      <c r="A25" s="20" t="s">
        <v>66</v>
      </c>
      <c r="B25" s="21" t="s">
        <v>65</v>
      </c>
      <c r="C25" s="22">
        <v>426</v>
      </c>
      <c r="D25" s="21">
        <v>16.66</v>
      </c>
      <c r="E25" s="21">
        <v>15.8</v>
      </c>
      <c r="F25" s="21">
        <v>15.97</v>
      </c>
      <c r="G25" s="35">
        <v>0.41</v>
      </c>
      <c r="H25" s="36">
        <v>2.52E-2</v>
      </c>
      <c r="I25" s="21">
        <v>3</v>
      </c>
      <c r="J25" s="21">
        <v>143</v>
      </c>
      <c r="K25" s="23">
        <v>0.21260000000000001</v>
      </c>
    </row>
    <row r="26" spans="1:11" s="1" customFormat="1" ht="15" customHeight="1" thickBot="1" x14ac:dyDescent="0.35">
      <c r="A26" s="20" t="s">
        <v>67</v>
      </c>
      <c r="B26" s="21" t="s">
        <v>68</v>
      </c>
      <c r="C26" s="22">
        <v>427</v>
      </c>
      <c r="D26" s="21">
        <v>15.15</v>
      </c>
      <c r="E26" s="21">
        <v>15.08</v>
      </c>
      <c r="F26" s="21">
        <v>15.24</v>
      </c>
      <c r="G26" s="35">
        <v>0.65</v>
      </c>
      <c r="H26" s="36">
        <v>4.48E-2</v>
      </c>
      <c r="I26" s="21">
        <v>47</v>
      </c>
      <c r="J26" s="21">
        <v>212</v>
      </c>
      <c r="K26" s="23">
        <v>0.2099</v>
      </c>
    </row>
    <row r="27" spans="1:11" s="1" customFormat="1" ht="15" customHeight="1" thickBot="1" x14ac:dyDescent="0.35">
      <c r="A27" s="20" t="s">
        <v>69</v>
      </c>
      <c r="B27" s="21" t="s">
        <v>70</v>
      </c>
      <c r="C27" s="22">
        <v>427.5</v>
      </c>
      <c r="D27" s="21">
        <v>15.52</v>
      </c>
      <c r="E27" s="21">
        <v>14.72</v>
      </c>
      <c r="F27" s="21">
        <v>14.88</v>
      </c>
      <c r="G27" s="35">
        <v>0.3</v>
      </c>
      <c r="H27" s="36">
        <v>1.9699999999999999E-2</v>
      </c>
      <c r="I27" s="21">
        <v>61</v>
      </c>
      <c r="J27" s="21">
        <v>42</v>
      </c>
      <c r="K27" s="23">
        <v>0.20849999999999999</v>
      </c>
    </row>
    <row r="28" spans="1:11" s="1" customFormat="1" ht="15" customHeight="1" thickBot="1" x14ac:dyDescent="0.35">
      <c r="A28" s="20" t="s">
        <v>71</v>
      </c>
      <c r="B28" s="21" t="s">
        <v>72</v>
      </c>
      <c r="C28" s="22">
        <v>428</v>
      </c>
      <c r="D28" s="21">
        <v>16.21</v>
      </c>
      <c r="E28" s="21">
        <v>14.36</v>
      </c>
      <c r="F28" s="21">
        <v>14.52</v>
      </c>
      <c r="G28" s="35">
        <v>1.34</v>
      </c>
      <c r="H28" s="36">
        <v>9.01E-2</v>
      </c>
      <c r="I28" s="21">
        <v>13</v>
      </c>
      <c r="J28" s="21">
        <v>67</v>
      </c>
      <c r="K28" s="23">
        <v>0.20710000000000001</v>
      </c>
    </row>
    <row r="29" spans="1:11" s="1" customFormat="1" ht="15" customHeight="1" thickBot="1" x14ac:dyDescent="0.35">
      <c r="A29" s="20" t="s">
        <v>73</v>
      </c>
      <c r="B29" s="21" t="s">
        <v>74</v>
      </c>
      <c r="C29" s="22">
        <v>430</v>
      </c>
      <c r="D29" s="21">
        <v>13.1</v>
      </c>
      <c r="E29" s="21">
        <v>12.96</v>
      </c>
      <c r="F29" s="21">
        <v>13.11</v>
      </c>
      <c r="G29" s="29">
        <v>-1.05</v>
      </c>
      <c r="H29" s="30">
        <v>-7.4200000000000002E-2</v>
      </c>
      <c r="I29" s="21">
        <v>131</v>
      </c>
      <c r="J29" s="21">
        <v>373</v>
      </c>
      <c r="K29" s="23">
        <v>0.20150000000000001</v>
      </c>
    </row>
    <row r="30" spans="1:11" s="1" customFormat="1" ht="15" customHeight="1" thickBot="1" x14ac:dyDescent="0.35">
      <c r="A30" s="20" t="s">
        <v>75</v>
      </c>
      <c r="B30" s="21" t="s">
        <v>76</v>
      </c>
      <c r="C30" s="22">
        <v>431</v>
      </c>
      <c r="D30" s="21">
        <v>12.59</v>
      </c>
      <c r="E30" s="21">
        <v>12.3</v>
      </c>
      <c r="F30" s="21">
        <v>12.36</v>
      </c>
      <c r="G30" s="29">
        <v>-0.68</v>
      </c>
      <c r="H30" s="30">
        <v>-5.1200000000000002E-2</v>
      </c>
      <c r="I30" s="21">
        <v>113</v>
      </c>
      <c r="J30" s="21">
        <v>143</v>
      </c>
      <c r="K30" s="23">
        <v>0.1976</v>
      </c>
    </row>
    <row r="31" spans="1:11" s="1" customFormat="1" ht="15" customHeight="1" thickBot="1" x14ac:dyDescent="0.35">
      <c r="A31" s="20" t="s">
        <v>77</v>
      </c>
      <c r="B31" s="21" t="s">
        <v>78</v>
      </c>
      <c r="C31" s="22">
        <v>432</v>
      </c>
      <c r="D31" s="21">
        <v>12</v>
      </c>
      <c r="E31" s="21">
        <v>11.62</v>
      </c>
      <c r="F31" s="21">
        <v>11.68</v>
      </c>
      <c r="G31" s="29">
        <v>-0.35</v>
      </c>
      <c r="H31" s="30">
        <v>-2.8299999999999999E-2</v>
      </c>
      <c r="I31" s="21">
        <v>48</v>
      </c>
      <c r="J31" s="21">
        <v>269</v>
      </c>
      <c r="K31" s="23">
        <v>0.1946</v>
      </c>
    </row>
    <row r="32" spans="1:11" s="1" customFormat="1" ht="15" customHeight="1" thickBot="1" x14ac:dyDescent="0.35">
      <c r="A32" s="20" t="s">
        <v>79</v>
      </c>
      <c r="B32" s="21" t="s">
        <v>80</v>
      </c>
      <c r="C32" s="22">
        <v>432.5</v>
      </c>
      <c r="D32" s="21">
        <v>12</v>
      </c>
      <c r="E32" s="21">
        <v>11.29</v>
      </c>
      <c r="F32" s="21">
        <v>11.35</v>
      </c>
      <c r="G32" s="29">
        <v>-0.1</v>
      </c>
      <c r="H32" s="30">
        <v>-8.3000000000000001E-3</v>
      </c>
      <c r="I32" s="21">
        <v>77</v>
      </c>
      <c r="J32" s="21">
        <v>78</v>
      </c>
      <c r="K32" s="23">
        <v>0.1933</v>
      </c>
    </row>
    <row r="33" spans="1:11" s="1" customFormat="1" ht="15" customHeight="1" thickBot="1" x14ac:dyDescent="0.35">
      <c r="A33" s="24" t="s">
        <v>81</v>
      </c>
      <c r="B33" s="25" t="s">
        <v>82</v>
      </c>
      <c r="C33" s="26">
        <v>434</v>
      </c>
      <c r="D33" s="25">
        <v>10.41</v>
      </c>
      <c r="E33" s="25">
        <v>10.31</v>
      </c>
      <c r="F33" s="25">
        <v>10.36</v>
      </c>
      <c r="G33" s="31">
        <v>-0.92</v>
      </c>
      <c r="H33" s="32">
        <v>-8.1199999999999994E-2</v>
      </c>
      <c r="I33" s="25">
        <v>81</v>
      </c>
      <c r="J33" s="25">
        <v>268</v>
      </c>
      <c r="K33" s="27">
        <v>0.1888</v>
      </c>
    </row>
    <row r="34" spans="1:11" s="1" customFormat="1" ht="15" customHeight="1" thickBot="1" x14ac:dyDescent="0.35">
      <c r="A34" s="24" t="s">
        <v>83</v>
      </c>
      <c r="B34" s="25" t="s">
        <v>84</v>
      </c>
      <c r="C34" s="26">
        <v>435</v>
      </c>
      <c r="D34" s="25">
        <v>9.61</v>
      </c>
      <c r="E34" s="25">
        <v>9.66</v>
      </c>
      <c r="F34" s="25">
        <v>9.7200000000000006</v>
      </c>
      <c r="G34" s="31">
        <v>-0.89</v>
      </c>
      <c r="H34" s="32">
        <v>-8.48E-2</v>
      </c>
      <c r="I34" s="25">
        <v>521</v>
      </c>
      <c r="J34" s="25">
        <v>965</v>
      </c>
      <c r="K34" s="27">
        <v>0.18590000000000001</v>
      </c>
    </row>
    <row r="35" spans="1:11" s="1" customFormat="1" ht="15" customHeight="1" thickBot="1" x14ac:dyDescent="0.35">
      <c r="A35" s="24" t="s">
        <v>85</v>
      </c>
      <c r="B35" s="25" t="s">
        <v>84</v>
      </c>
      <c r="C35" s="26">
        <v>436</v>
      </c>
      <c r="D35" s="25">
        <v>8.9700000000000006</v>
      </c>
      <c r="E35" s="25">
        <v>9.0399999999999991</v>
      </c>
      <c r="F35" s="25">
        <v>9.09</v>
      </c>
      <c r="G35" s="31">
        <v>-1.03</v>
      </c>
      <c r="H35" s="32">
        <v>-0.10299999999999999</v>
      </c>
      <c r="I35" s="25">
        <v>445</v>
      </c>
      <c r="J35" s="25">
        <v>161</v>
      </c>
      <c r="K35" s="27">
        <v>0.18279999999999999</v>
      </c>
    </row>
    <row r="36" spans="1:11" s="1" customFormat="1" ht="15" customHeight="1" thickBot="1" x14ac:dyDescent="0.35">
      <c r="A36" s="24" t="s">
        <v>86</v>
      </c>
      <c r="B36" s="25" t="s">
        <v>87</v>
      </c>
      <c r="C36" s="26">
        <v>437</v>
      </c>
      <c r="D36" s="25">
        <v>8.4600000000000009</v>
      </c>
      <c r="E36" s="25">
        <v>8.43</v>
      </c>
      <c r="F36" s="25">
        <v>8.48</v>
      </c>
      <c r="G36" s="31">
        <v>-0.86</v>
      </c>
      <c r="H36" s="32">
        <v>-9.2299999999999993E-2</v>
      </c>
      <c r="I36" s="28">
        <v>2529</v>
      </c>
      <c r="J36" s="25">
        <v>109</v>
      </c>
      <c r="K36" s="27">
        <v>0.17979999999999999</v>
      </c>
    </row>
    <row r="37" spans="1:11" s="1" customFormat="1" ht="15" customHeight="1" thickBot="1" x14ac:dyDescent="0.35">
      <c r="A37" s="24" t="s">
        <v>88</v>
      </c>
      <c r="B37" s="25" t="s">
        <v>89</v>
      </c>
      <c r="C37" s="26">
        <v>437.5</v>
      </c>
      <c r="D37" s="25">
        <v>9.25</v>
      </c>
      <c r="E37" s="25">
        <v>8.1300000000000008</v>
      </c>
      <c r="F37" s="25">
        <v>8.18</v>
      </c>
      <c r="G37" s="33">
        <v>0.43</v>
      </c>
      <c r="H37" s="34">
        <v>4.8800000000000003E-2</v>
      </c>
      <c r="I37" s="25">
        <v>50</v>
      </c>
      <c r="J37" s="25">
        <v>89</v>
      </c>
      <c r="K37" s="27">
        <v>0.17829999999999999</v>
      </c>
    </row>
    <row r="38" spans="1:11" s="1" customFormat="1" ht="15" customHeight="1" thickBot="1" x14ac:dyDescent="0.35">
      <c r="A38" s="24" t="s">
        <v>90</v>
      </c>
      <c r="B38" s="25" t="s">
        <v>91</v>
      </c>
      <c r="C38" s="26">
        <v>438</v>
      </c>
      <c r="D38" s="25">
        <v>7.97</v>
      </c>
      <c r="E38" s="25">
        <v>7.83</v>
      </c>
      <c r="F38" s="25">
        <v>7.88</v>
      </c>
      <c r="G38" s="31">
        <v>-0.81</v>
      </c>
      <c r="H38" s="32">
        <v>-9.2299999999999993E-2</v>
      </c>
      <c r="I38" s="25">
        <v>161</v>
      </c>
      <c r="J38" s="25">
        <v>236</v>
      </c>
      <c r="K38" s="27">
        <v>0.1767</v>
      </c>
    </row>
    <row r="39" spans="1:11" s="1" customFormat="1" ht="15" customHeight="1" thickBot="1" x14ac:dyDescent="0.35">
      <c r="A39" s="24" t="s">
        <v>92</v>
      </c>
      <c r="B39" s="25" t="s">
        <v>91</v>
      </c>
      <c r="C39" s="26">
        <v>439</v>
      </c>
      <c r="D39" s="25">
        <v>7.37</v>
      </c>
      <c r="E39" s="25">
        <v>7.25</v>
      </c>
      <c r="F39" s="25">
        <v>7.3</v>
      </c>
      <c r="G39" s="31">
        <v>-0.88</v>
      </c>
      <c r="H39" s="32">
        <v>-0.1067</v>
      </c>
      <c r="I39" s="25">
        <v>79</v>
      </c>
      <c r="J39" s="25">
        <v>373</v>
      </c>
      <c r="K39" s="27">
        <v>0.1736</v>
      </c>
    </row>
    <row r="40" spans="1:11" s="1" customFormat="1" ht="15" customHeight="1" thickBot="1" x14ac:dyDescent="0.35">
      <c r="A40" s="24" t="s">
        <v>93</v>
      </c>
      <c r="B40" s="25" t="s">
        <v>87</v>
      </c>
      <c r="C40" s="26">
        <v>440</v>
      </c>
      <c r="D40" s="25">
        <v>6.74</v>
      </c>
      <c r="E40" s="25">
        <v>6.69</v>
      </c>
      <c r="F40" s="25">
        <v>6.74</v>
      </c>
      <c r="G40" s="31">
        <v>-0.98</v>
      </c>
      <c r="H40" s="32">
        <v>-0.12690000000000001</v>
      </c>
      <c r="I40" s="25">
        <v>377</v>
      </c>
      <c r="J40" s="25">
        <v>581</v>
      </c>
      <c r="K40" s="27">
        <v>0.17050000000000001</v>
      </c>
    </row>
    <row r="41" spans="1:11" s="1" customFormat="1" ht="15" customHeight="1" thickBot="1" x14ac:dyDescent="0.35">
      <c r="A41" s="24" t="s">
        <v>94</v>
      </c>
      <c r="B41" s="25" t="s">
        <v>82</v>
      </c>
      <c r="C41" s="26">
        <v>441</v>
      </c>
      <c r="D41" s="25">
        <v>6.25</v>
      </c>
      <c r="E41" s="25">
        <v>6.15</v>
      </c>
      <c r="F41" s="25">
        <v>6.2</v>
      </c>
      <c r="G41" s="31">
        <v>-0.64</v>
      </c>
      <c r="H41" s="32">
        <v>-9.2899999999999996E-2</v>
      </c>
      <c r="I41" s="25">
        <v>45</v>
      </c>
      <c r="J41" s="25">
        <v>480</v>
      </c>
      <c r="K41" s="27">
        <v>0.16750000000000001</v>
      </c>
    </row>
    <row r="42" spans="1:11" s="1" customFormat="1" ht="15" customHeight="1" thickBot="1" x14ac:dyDescent="0.35">
      <c r="A42" s="24" t="s">
        <v>95</v>
      </c>
      <c r="B42" s="25" t="s">
        <v>96</v>
      </c>
      <c r="C42" s="26">
        <v>442</v>
      </c>
      <c r="D42" s="25">
        <v>5.89</v>
      </c>
      <c r="E42" s="25">
        <v>5.64</v>
      </c>
      <c r="F42" s="25">
        <v>5.68</v>
      </c>
      <c r="G42" s="31">
        <v>-0.26</v>
      </c>
      <c r="H42" s="32">
        <v>-4.2299999999999997E-2</v>
      </c>
      <c r="I42" s="25">
        <v>83</v>
      </c>
      <c r="J42" s="25">
        <v>667</v>
      </c>
      <c r="K42" s="27">
        <v>0.16450000000000001</v>
      </c>
    </row>
    <row r="43" spans="1:11" s="1" customFormat="1" ht="15" customHeight="1" thickBot="1" x14ac:dyDescent="0.35">
      <c r="A43" s="24" t="s">
        <v>97</v>
      </c>
      <c r="B43" s="25" t="s">
        <v>65</v>
      </c>
      <c r="C43" s="26">
        <v>442.5</v>
      </c>
      <c r="D43" s="25">
        <v>5.86</v>
      </c>
      <c r="E43" s="25">
        <v>5.38</v>
      </c>
      <c r="F43" s="25">
        <v>5.43</v>
      </c>
      <c r="G43" s="33">
        <v>0.05</v>
      </c>
      <c r="H43" s="34">
        <v>8.6E-3</v>
      </c>
      <c r="I43" s="25">
        <v>14</v>
      </c>
      <c r="J43" s="25">
        <v>587</v>
      </c>
      <c r="K43" s="27">
        <v>0.16300000000000001</v>
      </c>
    </row>
    <row r="44" spans="1:11" s="1" customFormat="1" ht="15" customHeight="1" thickBot="1" x14ac:dyDescent="0.35">
      <c r="A44" s="24" t="s">
        <v>98</v>
      </c>
      <c r="B44" s="25" t="s">
        <v>65</v>
      </c>
      <c r="C44" s="26">
        <v>443</v>
      </c>
      <c r="D44" s="25">
        <v>5.59</v>
      </c>
      <c r="E44" s="25">
        <v>5.14</v>
      </c>
      <c r="F44" s="25">
        <v>5.19</v>
      </c>
      <c r="G44" s="31">
        <v>-0.43</v>
      </c>
      <c r="H44" s="32">
        <v>-7.1400000000000005E-2</v>
      </c>
      <c r="I44" s="25">
        <v>106</v>
      </c>
      <c r="J44" s="25">
        <v>882</v>
      </c>
      <c r="K44" s="27">
        <v>0.16159999999999999</v>
      </c>
    </row>
    <row r="45" spans="1:11" s="1" customFormat="1" ht="15" customHeight="1" thickBot="1" x14ac:dyDescent="0.35">
      <c r="A45" s="24" t="s">
        <v>99</v>
      </c>
      <c r="B45" s="25" t="s">
        <v>100</v>
      </c>
      <c r="C45" s="26">
        <v>444</v>
      </c>
      <c r="D45" s="25">
        <v>5.13</v>
      </c>
      <c r="E45" s="25">
        <v>4.67</v>
      </c>
      <c r="F45" s="25">
        <v>4.71</v>
      </c>
      <c r="G45" s="33">
        <v>0.53</v>
      </c>
      <c r="H45" s="34">
        <v>0.1152</v>
      </c>
      <c r="I45" s="25">
        <v>91</v>
      </c>
      <c r="J45" s="25">
        <v>778</v>
      </c>
      <c r="K45" s="27">
        <v>0.1585</v>
      </c>
    </row>
    <row r="46" spans="1:11" s="1" customFormat="1" ht="15" customHeight="1" thickBot="1" x14ac:dyDescent="0.35">
      <c r="A46" s="24" t="s">
        <v>101</v>
      </c>
      <c r="B46" s="25" t="s">
        <v>87</v>
      </c>
      <c r="C46" s="26">
        <v>445</v>
      </c>
      <c r="D46" s="25">
        <v>4.24</v>
      </c>
      <c r="E46" s="25">
        <v>4.22</v>
      </c>
      <c r="F46" s="25">
        <v>4.26</v>
      </c>
      <c r="G46" s="31">
        <v>-0.57999999999999996</v>
      </c>
      <c r="H46" s="32">
        <v>-0.1203</v>
      </c>
      <c r="I46" s="28">
        <v>21806</v>
      </c>
      <c r="J46" s="28">
        <v>1168</v>
      </c>
      <c r="K46" s="27">
        <v>0.15559999999999999</v>
      </c>
    </row>
    <row r="47" spans="1:11" s="1" customFormat="1" ht="15" customHeight="1" thickBot="1" x14ac:dyDescent="0.35">
      <c r="A47" s="24" t="s">
        <v>102</v>
      </c>
      <c r="B47" s="25" t="s">
        <v>96</v>
      </c>
      <c r="C47" s="26">
        <v>446</v>
      </c>
      <c r="D47" s="25">
        <v>3.99</v>
      </c>
      <c r="E47" s="25">
        <v>3.79</v>
      </c>
      <c r="F47" s="25">
        <v>3.84</v>
      </c>
      <c r="G47" s="31">
        <v>-0.44</v>
      </c>
      <c r="H47" s="32">
        <v>-9.9299999999999999E-2</v>
      </c>
      <c r="I47" s="25">
        <v>164</v>
      </c>
      <c r="J47" s="25">
        <v>619</v>
      </c>
      <c r="K47" s="27">
        <v>0.15290000000000001</v>
      </c>
    </row>
    <row r="48" spans="1:11" s="1" customFormat="1" ht="15" customHeight="1" thickBot="1" x14ac:dyDescent="0.35">
      <c r="A48" s="24" t="s">
        <v>103</v>
      </c>
      <c r="B48" s="25" t="s">
        <v>104</v>
      </c>
      <c r="C48" s="26">
        <v>447</v>
      </c>
      <c r="D48" s="25">
        <v>3.86</v>
      </c>
      <c r="E48" s="25">
        <v>3.4</v>
      </c>
      <c r="F48" s="25">
        <v>3.44</v>
      </c>
      <c r="G48" s="31">
        <v>-0.06</v>
      </c>
      <c r="H48" s="32">
        <v>-1.5299999999999999E-2</v>
      </c>
      <c r="I48" s="25">
        <v>90</v>
      </c>
      <c r="J48" s="25">
        <v>319</v>
      </c>
      <c r="K48" s="27">
        <v>0.15010000000000001</v>
      </c>
    </row>
    <row r="49" spans="1:11" s="1" customFormat="1" ht="15" customHeight="1" thickBot="1" x14ac:dyDescent="0.35">
      <c r="A49" s="24" t="s">
        <v>105</v>
      </c>
      <c r="B49" s="25" t="s">
        <v>106</v>
      </c>
      <c r="C49" s="26">
        <v>447.5</v>
      </c>
      <c r="D49" s="25">
        <v>3.7</v>
      </c>
      <c r="E49" s="25">
        <v>3.21</v>
      </c>
      <c r="F49" s="25">
        <v>3.25</v>
      </c>
      <c r="G49" s="33">
        <v>0.4</v>
      </c>
      <c r="H49" s="34">
        <v>0.1212</v>
      </c>
      <c r="I49" s="25">
        <v>130</v>
      </c>
      <c r="J49" s="25">
        <v>269</v>
      </c>
      <c r="K49" s="27">
        <v>0.1487</v>
      </c>
    </row>
    <row r="50" spans="1:11" s="1" customFormat="1" ht="15" customHeight="1" thickBot="1" x14ac:dyDescent="0.35">
      <c r="A50" s="24" t="s">
        <v>107</v>
      </c>
      <c r="B50" s="25" t="s">
        <v>108</v>
      </c>
      <c r="C50" s="26">
        <v>448</v>
      </c>
      <c r="D50" s="25">
        <v>3.61</v>
      </c>
      <c r="E50" s="25">
        <v>3.03</v>
      </c>
      <c r="F50" s="25">
        <v>3.06</v>
      </c>
      <c r="G50" s="31">
        <v>-0.09</v>
      </c>
      <c r="H50" s="32">
        <v>-2.4299999999999999E-2</v>
      </c>
      <c r="I50" s="25">
        <v>63</v>
      </c>
      <c r="J50" s="28">
        <v>1704</v>
      </c>
      <c r="K50" s="27">
        <v>0.1472</v>
      </c>
    </row>
    <row r="51" spans="1:11" s="1" customFormat="1" ht="15" customHeight="1" thickBot="1" x14ac:dyDescent="0.35">
      <c r="A51" s="24" t="s">
        <v>109</v>
      </c>
      <c r="B51" s="25" t="s">
        <v>110</v>
      </c>
      <c r="C51" s="26">
        <v>449</v>
      </c>
      <c r="D51" s="25">
        <v>2.7</v>
      </c>
      <c r="E51" s="25">
        <v>2.68</v>
      </c>
      <c r="F51" s="25">
        <v>2.72</v>
      </c>
      <c r="G51" s="31">
        <v>-0.6</v>
      </c>
      <c r="H51" s="32">
        <v>-0.18179999999999999</v>
      </c>
      <c r="I51" s="25">
        <v>234</v>
      </c>
      <c r="J51" s="25">
        <v>252</v>
      </c>
      <c r="K51" s="27">
        <v>0.1447</v>
      </c>
    </row>
    <row r="52" spans="1:11" s="1" customFormat="1" ht="15" customHeight="1" thickBot="1" x14ac:dyDescent="0.35">
      <c r="A52" s="24" t="s">
        <v>111</v>
      </c>
      <c r="B52" s="25" t="s">
        <v>74</v>
      </c>
      <c r="C52" s="26">
        <v>450</v>
      </c>
      <c r="D52" s="25">
        <v>2.39</v>
      </c>
      <c r="E52" s="25">
        <v>2.37</v>
      </c>
      <c r="F52" s="25">
        <v>2.4</v>
      </c>
      <c r="G52" s="31">
        <v>-0.56000000000000005</v>
      </c>
      <c r="H52" s="32">
        <v>-0.1898</v>
      </c>
      <c r="I52" s="28">
        <v>1410</v>
      </c>
      <c r="J52" s="28">
        <v>2654</v>
      </c>
      <c r="K52" s="27">
        <v>0.1421</v>
      </c>
    </row>
    <row r="53" spans="1:11" s="1" customFormat="1" ht="15" customHeight="1" thickBot="1" x14ac:dyDescent="0.35">
      <c r="A53" s="24" t="s">
        <v>112</v>
      </c>
      <c r="B53" s="25" t="s">
        <v>74</v>
      </c>
      <c r="C53" s="26">
        <v>451</v>
      </c>
      <c r="D53" s="25">
        <v>2.09</v>
      </c>
      <c r="E53" s="25">
        <v>2.08</v>
      </c>
      <c r="F53" s="25">
        <v>2.11</v>
      </c>
      <c r="G53" s="31">
        <v>-0.39</v>
      </c>
      <c r="H53" s="32">
        <v>-0.1573</v>
      </c>
      <c r="I53" s="25">
        <v>64</v>
      </c>
      <c r="J53" s="28">
        <v>1353</v>
      </c>
      <c r="K53" s="27">
        <v>0.13969999999999999</v>
      </c>
    </row>
    <row r="54" spans="1:11" s="1" customFormat="1" ht="15" customHeight="1" thickBot="1" x14ac:dyDescent="0.35">
      <c r="A54" s="24" t="s">
        <v>113</v>
      </c>
      <c r="B54" s="25" t="s">
        <v>114</v>
      </c>
      <c r="C54" s="26">
        <v>452</v>
      </c>
      <c r="D54" s="25">
        <v>1.85</v>
      </c>
      <c r="E54" s="25">
        <v>1.82</v>
      </c>
      <c r="F54" s="25">
        <v>1.85</v>
      </c>
      <c r="G54" s="31">
        <v>-0.38</v>
      </c>
      <c r="H54" s="32">
        <v>-0.1704</v>
      </c>
      <c r="I54" s="25">
        <v>80</v>
      </c>
      <c r="J54" s="28">
        <v>3028</v>
      </c>
      <c r="K54" s="27">
        <v>0.13750000000000001</v>
      </c>
    </row>
    <row r="55" spans="1:11" s="1" customFormat="1" ht="15" customHeight="1" thickBot="1" x14ac:dyDescent="0.35">
      <c r="A55" s="24" t="s">
        <v>115</v>
      </c>
      <c r="B55" s="25" t="s">
        <v>116</v>
      </c>
      <c r="C55" s="26">
        <v>452.5</v>
      </c>
      <c r="D55" s="25">
        <v>2.12</v>
      </c>
      <c r="E55" s="25">
        <v>1.7</v>
      </c>
      <c r="F55" s="25">
        <v>1.73</v>
      </c>
      <c r="G55" s="33">
        <v>0.03</v>
      </c>
      <c r="H55" s="34">
        <v>1.44E-2</v>
      </c>
      <c r="I55" s="25">
        <v>475</v>
      </c>
      <c r="J55" s="25">
        <v>990</v>
      </c>
      <c r="K55" s="27">
        <v>0.13650000000000001</v>
      </c>
    </row>
    <row r="56" spans="1:11" s="1" customFormat="1" ht="15" customHeight="1" thickBot="1" x14ac:dyDescent="0.35">
      <c r="A56" s="24" t="s">
        <v>117</v>
      </c>
      <c r="B56" s="25" t="s">
        <v>118</v>
      </c>
      <c r="C56" s="26">
        <v>453</v>
      </c>
      <c r="D56" s="25">
        <v>1.86</v>
      </c>
      <c r="E56" s="25">
        <v>1.58</v>
      </c>
      <c r="F56" s="25">
        <v>1.61</v>
      </c>
      <c r="G56" s="31">
        <v>-0.16</v>
      </c>
      <c r="H56" s="32">
        <v>-7.9200000000000007E-2</v>
      </c>
      <c r="I56" s="25">
        <v>143</v>
      </c>
      <c r="J56" s="25">
        <v>296</v>
      </c>
      <c r="K56" s="27">
        <v>0.1353</v>
      </c>
    </row>
    <row r="57" spans="1:11" s="1" customFormat="1" ht="15" customHeight="1" thickBot="1" x14ac:dyDescent="0.35">
      <c r="A57" s="24" t="s">
        <v>119</v>
      </c>
      <c r="B57" s="25" t="s">
        <v>84</v>
      </c>
      <c r="C57" s="26">
        <v>454</v>
      </c>
      <c r="D57" s="25">
        <v>1.35</v>
      </c>
      <c r="E57" s="25">
        <v>1.39</v>
      </c>
      <c r="F57" s="25">
        <v>1.4</v>
      </c>
      <c r="G57" s="31">
        <v>-0.32</v>
      </c>
      <c r="H57" s="32">
        <v>-0.19159999999999999</v>
      </c>
      <c r="I57" s="25">
        <v>43</v>
      </c>
      <c r="J57" s="25">
        <v>811</v>
      </c>
      <c r="K57" s="27">
        <v>0.13339999999999999</v>
      </c>
    </row>
    <row r="58" spans="1:11" s="1" customFormat="1" ht="15" customHeight="1" thickBot="1" x14ac:dyDescent="0.35">
      <c r="A58" s="24" t="s">
        <v>120</v>
      </c>
      <c r="B58" s="25" t="s">
        <v>121</v>
      </c>
      <c r="C58" s="26">
        <v>455</v>
      </c>
      <c r="D58" s="25">
        <v>1.25</v>
      </c>
      <c r="E58" s="25">
        <v>1.19</v>
      </c>
      <c r="F58" s="25">
        <v>1.22</v>
      </c>
      <c r="G58" s="31">
        <v>-0.23</v>
      </c>
      <c r="H58" s="32">
        <v>-0.15540000000000001</v>
      </c>
      <c r="I58" s="25">
        <v>824</v>
      </c>
      <c r="J58" s="28">
        <v>2276</v>
      </c>
      <c r="K58" s="27">
        <v>0.1318</v>
      </c>
    </row>
    <row r="59" spans="1:11" s="1" customFormat="1" ht="15" customHeight="1" thickBot="1" x14ac:dyDescent="0.35">
      <c r="A59" s="24" t="s">
        <v>122</v>
      </c>
      <c r="B59" s="25" t="s">
        <v>84</v>
      </c>
      <c r="C59" s="26">
        <v>456</v>
      </c>
      <c r="D59" s="25">
        <v>1.02</v>
      </c>
      <c r="E59" s="25">
        <v>1.03</v>
      </c>
      <c r="F59" s="25">
        <v>1.05</v>
      </c>
      <c r="G59" s="31">
        <v>-0.28999999999999998</v>
      </c>
      <c r="H59" s="32">
        <v>-0.22140000000000001</v>
      </c>
      <c r="I59" s="25">
        <v>24</v>
      </c>
      <c r="J59" s="25">
        <v>818</v>
      </c>
      <c r="K59" s="27">
        <v>0.13009999999999999</v>
      </c>
    </row>
    <row r="60" spans="1:11" s="1" customFormat="1" ht="15" customHeight="1" thickBot="1" x14ac:dyDescent="0.35">
      <c r="A60" s="24" t="s">
        <v>123</v>
      </c>
      <c r="B60" s="25" t="s">
        <v>124</v>
      </c>
      <c r="C60" s="26">
        <v>457</v>
      </c>
      <c r="D60" s="25">
        <v>0.94</v>
      </c>
      <c r="E60" s="25">
        <v>0.89</v>
      </c>
      <c r="F60" s="25">
        <v>0.91</v>
      </c>
      <c r="G60" s="31">
        <v>-0.19</v>
      </c>
      <c r="H60" s="32">
        <v>-0.1681</v>
      </c>
      <c r="I60" s="25">
        <v>294</v>
      </c>
      <c r="J60" s="25">
        <v>361</v>
      </c>
      <c r="K60" s="27">
        <v>0.1288</v>
      </c>
    </row>
    <row r="61" spans="1:11" s="1" customFormat="1" ht="15" customHeight="1" thickBot="1" x14ac:dyDescent="0.35">
      <c r="A61" s="24" t="s">
        <v>125</v>
      </c>
      <c r="B61" s="25" t="s">
        <v>114</v>
      </c>
      <c r="C61" s="26">
        <v>457.5</v>
      </c>
      <c r="D61" s="25">
        <v>0.85</v>
      </c>
      <c r="E61" s="25">
        <v>0.83</v>
      </c>
      <c r="F61" s="25">
        <v>0.84</v>
      </c>
      <c r="G61" s="31">
        <v>-0.2</v>
      </c>
      <c r="H61" s="32">
        <v>-0.1905</v>
      </c>
      <c r="I61" s="25">
        <v>62</v>
      </c>
      <c r="J61" s="25">
        <v>780</v>
      </c>
      <c r="K61" s="27">
        <v>0.12790000000000001</v>
      </c>
    </row>
    <row r="62" spans="1:11" s="1" customFormat="1" ht="15" customHeight="1" thickBot="1" x14ac:dyDescent="0.35">
      <c r="A62" s="24" t="s">
        <v>126</v>
      </c>
      <c r="B62" s="25" t="s">
        <v>127</v>
      </c>
      <c r="C62" s="26">
        <v>458</v>
      </c>
      <c r="D62" s="25">
        <v>0.9</v>
      </c>
      <c r="E62" s="25">
        <v>0.77</v>
      </c>
      <c r="F62" s="25">
        <v>0.78</v>
      </c>
      <c r="G62" s="31">
        <v>-0.1</v>
      </c>
      <c r="H62" s="32">
        <v>-0.1</v>
      </c>
      <c r="I62" s="25">
        <v>364</v>
      </c>
      <c r="J62" s="25">
        <v>672</v>
      </c>
      <c r="K62" s="27">
        <v>0.1273</v>
      </c>
    </row>
    <row r="63" spans="1:11" s="1" customFormat="1" ht="15" customHeight="1" thickBot="1" x14ac:dyDescent="0.35">
      <c r="A63" s="24" t="s">
        <v>128</v>
      </c>
      <c r="B63" s="25" t="s">
        <v>129</v>
      </c>
      <c r="C63" s="26">
        <v>459</v>
      </c>
      <c r="D63" s="25">
        <v>0.85</v>
      </c>
      <c r="E63" s="25">
        <v>0.66</v>
      </c>
      <c r="F63" s="25">
        <v>0.67</v>
      </c>
      <c r="G63" s="33">
        <v>0.02</v>
      </c>
      <c r="H63" s="34">
        <v>2.41E-2</v>
      </c>
      <c r="I63" s="25">
        <v>471</v>
      </c>
      <c r="J63" s="25">
        <v>410</v>
      </c>
      <c r="K63" s="27">
        <v>0.12609999999999999</v>
      </c>
    </row>
    <row r="64" spans="1:11" s="1" customFormat="1" ht="15" customHeight="1" thickBot="1" x14ac:dyDescent="0.35">
      <c r="A64" s="24" t="s">
        <v>130</v>
      </c>
      <c r="B64" s="25" t="s">
        <v>78</v>
      </c>
      <c r="C64" s="26">
        <v>460</v>
      </c>
      <c r="D64" s="25">
        <v>0.62</v>
      </c>
      <c r="E64" s="25">
        <v>0.56999999999999995</v>
      </c>
      <c r="F64" s="25">
        <v>0.57999999999999996</v>
      </c>
      <c r="G64" s="31">
        <v>-0.13</v>
      </c>
      <c r="H64" s="32">
        <v>-0.17330000000000001</v>
      </c>
      <c r="I64" s="25">
        <v>615</v>
      </c>
      <c r="J64" s="28">
        <v>2912</v>
      </c>
      <c r="K64" s="27">
        <v>0.12540000000000001</v>
      </c>
    </row>
    <row r="65" spans="1:11" s="1" customFormat="1" ht="15" customHeight="1" thickBot="1" x14ac:dyDescent="0.35">
      <c r="A65" s="24" t="s">
        <v>131</v>
      </c>
      <c r="B65" s="25" t="s">
        <v>132</v>
      </c>
      <c r="C65" s="26">
        <v>461</v>
      </c>
      <c r="D65" s="25">
        <v>0.65</v>
      </c>
      <c r="E65" s="25">
        <v>0.48</v>
      </c>
      <c r="F65" s="25">
        <v>0.5</v>
      </c>
      <c r="G65" s="33">
        <v>0.02</v>
      </c>
      <c r="H65" s="34">
        <v>3.1699999999999999E-2</v>
      </c>
      <c r="I65" s="25">
        <v>231</v>
      </c>
      <c r="J65" s="25">
        <v>246</v>
      </c>
      <c r="K65" s="27">
        <v>0.1245</v>
      </c>
    </row>
    <row r="66" spans="1:11" s="1" customFormat="1" ht="15" customHeight="1" thickBot="1" x14ac:dyDescent="0.35">
      <c r="A66" s="24" t="s">
        <v>133</v>
      </c>
      <c r="B66" s="25" t="s">
        <v>76</v>
      </c>
      <c r="C66" s="26">
        <v>462</v>
      </c>
      <c r="D66" s="25">
        <v>0.43</v>
      </c>
      <c r="E66" s="25">
        <v>0.41</v>
      </c>
      <c r="F66" s="25">
        <v>0.43</v>
      </c>
      <c r="G66" s="31">
        <v>-0.1</v>
      </c>
      <c r="H66" s="32">
        <v>-0.18870000000000001</v>
      </c>
      <c r="I66" s="25">
        <v>55</v>
      </c>
      <c r="J66" s="28">
        <v>1111</v>
      </c>
      <c r="K66" s="27">
        <v>0.1239</v>
      </c>
    </row>
    <row r="67" spans="1:11" s="1" customFormat="1" ht="15" customHeight="1" thickBot="1" x14ac:dyDescent="0.35">
      <c r="A67" s="24" t="s">
        <v>134</v>
      </c>
      <c r="B67" s="25" t="s">
        <v>84</v>
      </c>
      <c r="C67" s="26">
        <v>462.5</v>
      </c>
      <c r="D67" s="25">
        <v>0.39</v>
      </c>
      <c r="E67" s="25">
        <v>0.38</v>
      </c>
      <c r="F67" s="25">
        <v>0.4</v>
      </c>
      <c r="G67" s="31">
        <v>-0.11</v>
      </c>
      <c r="H67" s="32">
        <v>-0.22</v>
      </c>
      <c r="I67" s="25">
        <v>130</v>
      </c>
      <c r="J67" s="28">
        <v>1158</v>
      </c>
      <c r="K67" s="27">
        <v>0.1237</v>
      </c>
    </row>
    <row r="68" spans="1:11" s="1" customFormat="1" ht="15" customHeight="1" thickBot="1" x14ac:dyDescent="0.35">
      <c r="A68" s="24" t="s">
        <v>135</v>
      </c>
      <c r="B68" s="25" t="s">
        <v>65</v>
      </c>
      <c r="C68" s="26">
        <v>463</v>
      </c>
      <c r="D68" s="25">
        <v>0.41</v>
      </c>
      <c r="E68" s="25">
        <v>0.35</v>
      </c>
      <c r="F68" s="25">
        <v>0.37</v>
      </c>
      <c r="G68" s="31">
        <v>-0.02</v>
      </c>
      <c r="H68" s="32">
        <v>-4.65E-2</v>
      </c>
      <c r="I68" s="25">
        <v>29</v>
      </c>
      <c r="J68" s="25">
        <v>170</v>
      </c>
      <c r="K68" s="27">
        <v>0.12330000000000001</v>
      </c>
    </row>
    <row r="69" spans="1:11" s="1" customFormat="1" ht="15" customHeight="1" thickBot="1" x14ac:dyDescent="0.35">
      <c r="A69" s="24" t="s">
        <v>136</v>
      </c>
      <c r="B69" s="25" t="s">
        <v>74</v>
      </c>
      <c r="C69" s="26">
        <v>464</v>
      </c>
      <c r="D69" s="25">
        <v>0.31</v>
      </c>
      <c r="E69" s="25">
        <v>0.3</v>
      </c>
      <c r="F69" s="25">
        <v>0.32</v>
      </c>
      <c r="G69" s="31">
        <v>-0.11</v>
      </c>
      <c r="H69" s="32">
        <v>-0.26190000000000002</v>
      </c>
      <c r="I69" s="25">
        <v>47</v>
      </c>
      <c r="J69" s="25">
        <v>170</v>
      </c>
      <c r="K69" s="27">
        <v>0.1229</v>
      </c>
    </row>
    <row r="70" spans="1:11" s="1" customFormat="1" ht="15" customHeight="1" thickBot="1" x14ac:dyDescent="0.35">
      <c r="A70" s="24" t="s">
        <v>137</v>
      </c>
      <c r="B70" s="25" t="s">
        <v>76</v>
      </c>
      <c r="C70" s="26">
        <v>465</v>
      </c>
      <c r="D70" s="25">
        <v>0.27</v>
      </c>
      <c r="E70" s="25">
        <v>0.26</v>
      </c>
      <c r="F70" s="25">
        <v>0.27</v>
      </c>
      <c r="G70" s="31">
        <v>-0.1</v>
      </c>
      <c r="H70" s="32">
        <v>-0.27029999999999998</v>
      </c>
      <c r="I70" s="25">
        <v>189</v>
      </c>
      <c r="J70" s="25">
        <v>879</v>
      </c>
      <c r="K70" s="27">
        <v>0.1221</v>
      </c>
    </row>
    <row r="71" spans="1:11" s="1" customFormat="1" ht="15" customHeight="1" thickBot="1" x14ac:dyDescent="0.35">
      <c r="A71" s="24" t="s">
        <v>138</v>
      </c>
      <c r="B71" s="25" t="s">
        <v>84</v>
      </c>
      <c r="C71" s="26">
        <v>466</v>
      </c>
      <c r="D71" s="25">
        <v>0.22</v>
      </c>
      <c r="E71" s="25">
        <v>0.22</v>
      </c>
      <c r="F71" s="25">
        <v>0.23</v>
      </c>
      <c r="G71" s="31">
        <v>-7.0000000000000007E-2</v>
      </c>
      <c r="H71" s="32">
        <v>-0.2414</v>
      </c>
      <c r="I71" s="25">
        <v>46</v>
      </c>
      <c r="J71" s="25">
        <v>423</v>
      </c>
      <c r="K71" s="27">
        <v>0.1216</v>
      </c>
    </row>
    <row r="72" spans="1:11" s="1" customFormat="1" ht="15" customHeight="1" thickBot="1" x14ac:dyDescent="0.35">
      <c r="A72" s="24" t="s">
        <v>139</v>
      </c>
      <c r="B72" s="25" t="s">
        <v>124</v>
      </c>
      <c r="C72" s="26">
        <v>467</v>
      </c>
      <c r="D72" s="25">
        <v>0.2</v>
      </c>
      <c r="E72" s="25">
        <v>0.19</v>
      </c>
      <c r="F72" s="25">
        <v>0.2</v>
      </c>
      <c r="G72" s="31">
        <v>-7.0000000000000007E-2</v>
      </c>
      <c r="H72" s="32">
        <v>-0.25929999999999997</v>
      </c>
      <c r="I72" s="25">
        <v>9</v>
      </c>
      <c r="J72" s="25">
        <v>35</v>
      </c>
      <c r="K72" s="27">
        <v>0.1216</v>
      </c>
    </row>
    <row r="73" spans="1:11" s="1" customFormat="1" ht="15" customHeight="1" thickBot="1" x14ac:dyDescent="0.35">
      <c r="A73" s="24" t="s">
        <v>140</v>
      </c>
      <c r="B73" s="25" t="s">
        <v>78</v>
      </c>
      <c r="C73" s="26">
        <v>467.5</v>
      </c>
      <c r="D73" s="25">
        <v>0.2</v>
      </c>
      <c r="E73" s="25">
        <v>0.18</v>
      </c>
      <c r="F73" s="25">
        <v>0.19</v>
      </c>
      <c r="G73" s="31">
        <v>-0.03</v>
      </c>
      <c r="H73" s="32">
        <v>-0.13039999999999999</v>
      </c>
      <c r="I73" s="25">
        <v>8</v>
      </c>
      <c r="J73" s="25">
        <v>489</v>
      </c>
      <c r="K73" s="27">
        <v>0.12180000000000001</v>
      </c>
    </row>
    <row r="74" spans="1:11" s="1" customFormat="1" ht="15" customHeight="1" thickBot="1" x14ac:dyDescent="0.35">
      <c r="A74" s="24" t="s">
        <v>141</v>
      </c>
      <c r="B74" s="25" t="s">
        <v>118</v>
      </c>
      <c r="C74" s="26">
        <v>468</v>
      </c>
      <c r="D74" s="25">
        <v>0.21</v>
      </c>
      <c r="E74" s="25">
        <v>0.16</v>
      </c>
      <c r="F74" s="25">
        <v>0.18</v>
      </c>
      <c r="G74" s="31">
        <v>-0.05</v>
      </c>
      <c r="H74" s="32">
        <v>-0.1923</v>
      </c>
      <c r="I74" s="25">
        <v>30</v>
      </c>
      <c r="J74" s="28">
        <v>1264</v>
      </c>
      <c r="K74" s="27">
        <v>0.12230000000000001</v>
      </c>
    </row>
    <row r="75" spans="1:11" s="1" customFormat="1" ht="15" customHeight="1" thickBot="1" x14ac:dyDescent="0.35">
      <c r="A75" s="24" t="s">
        <v>142</v>
      </c>
      <c r="B75" s="25" t="s">
        <v>143</v>
      </c>
      <c r="C75" s="26">
        <v>469</v>
      </c>
      <c r="D75" s="25">
        <v>0.18</v>
      </c>
      <c r="E75" s="25">
        <v>0.14000000000000001</v>
      </c>
      <c r="F75" s="25">
        <v>0.15</v>
      </c>
      <c r="G75" s="31">
        <v>-0.01</v>
      </c>
      <c r="H75" s="32">
        <v>-5.2600000000000001E-2</v>
      </c>
      <c r="I75" s="25">
        <v>32</v>
      </c>
      <c r="J75" s="25">
        <v>24</v>
      </c>
      <c r="K75" s="27">
        <v>0.1216</v>
      </c>
    </row>
    <row r="76" spans="1:11" s="1" customFormat="1" ht="15" customHeight="1" thickBot="1" x14ac:dyDescent="0.35">
      <c r="A76" s="24" t="s">
        <v>144</v>
      </c>
      <c r="B76" s="25" t="s">
        <v>84</v>
      </c>
      <c r="C76" s="26">
        <v>470</v>
      </c>
      <c r="D76" s="25">
        <v>0.13</v>
      </c>
      <c r="E76" s="25">
        <v>0.12</v>
      </c>
      <c r="F76" s="25">
        <v>0.13</v>
      </c>
      <c r="G76" s="31">
        <v>-7.0000000000000007E-2</v>
      </c>
      <c r="H76" s="32">
        <v>-0.35</v>
      </c>
      <c r="I76" s="25">
        <v>23</v>
      </c>
      <c r="J76" s="28">
        <v>1357</v>
      </c>
      <c r="K76" s="27">
        <v>0.1216</v>
      </c>
    </row>
    <row r="77" spans="1:11" s="1" customFormat="1" ht="15" customHeight="1" thickBot="1" x14ac:dyDescent="0.35">
      <c r="A77" s="24" t="s">
        <v>145</v>
      </c>
      <c r="B77" s="25" t="s">
        <v>116</v>
      </c>
      <c r="C77" s="26">
        <v>471</v>
      </c>
      <c r="D77" s="25">
        <v>0.14000000000000001</v>
      </c>
      <c r="E77" s="25">
        <v>0.11</v>
      </c>
      <c r="F77" s="25">
        <v>0.12</v>
      </c>
      <c r="G77" s="31">
        <v>-0.01</v>
      </c>
      <c r="H77" s="32">
        <v>-6.6699999999999995E-2</v>
      </c>
      <c r="I77" s="25">
        <v>48</v>
      </c>
      <c r="J77" s="25">
        <v>257</v>
      </c>
      <c r="K77" s="27">
        <v>0.12280000000000001</v>
      </c>
    </row>
    <row r="78" spans="1:11" s="1" customFormat="1" ht="15" customHeight="1" thickBot="1" x14ac:dyDescent="0.35">
      <c r="A78" s="24" t="s">
        <v>146</v>
      </c>
      <c r="B78" s="25" t="s">
        <v>147</v>
      </c>
      <c r="C78" s="26">
        <v>472</v>
      </c>
      <c r="D78" s="25">
        <v>0.12</v>
      </c>
      <c r="E78" s="25">
        <v>0.09</v>
      </c>
      <c r="F78" s="25">
        <v>0.1</v>
      </c>
      <c r="G78" s="31">
        <v>-0.03</v>
      </c>
      <c r="H78" s="32">
        <v>-0.2</v>
      </c>
      <c r="I78" s="25">
        <v>10</v>
      </c>
      <c r="J78" s="25">
        <v>257</v>
      </c>
      <c r="K78" s="27">
        <v>0.1221</v>
      </c>
    </row>
    <row r="79" spans="1:11" s="1" customFormat="1" ht="15" customHeight="1" thickBot="1" x14ac:dyDescent="0.35">
      <c r="A79" s="24" t="s">
        <v>148</v>
      </c>
      <c r="B79" s="25" t="s">
        <v>149</v>
      </c>
      <c r="C79" s="26">
        <v>472.5</v>
      </c>
      <c r="D79" s="25">
        <v>0.14000000000000001</v>
      </c>
      <c r="E79" s="25">
        <v>0.08</v>
      </c>
      <c r="F79" s="25">
        <v>0.1</v>
      </c>
      <c r="G79" s="25">
        <v>0</v>
      </c>
      <c r="H79" s="25" t="s">
        <v>11</v>
      </c>
      <c r="I79" s="25">
        <v>1</v>
      </c>
      <c r="J79" s="25">
        <v>228</v>
      </c>
      <c r="K79" s="27">
        <v>0.1235</v>
      </c>
    </row>
    <row r="80" spans="1:11" s="1" customFormat="1" ht="15" customHeight="1" thickBot="1" x14ac:dyDescent="0.35">
      <c r="A80" s="24" t="s">
        <v>150</v>
      </c>
      <c r="B80" s="25" t="s">
        <v>151</v>
      </c>
      <c r="C80" s="26">
        <v>473</v>
      </c>
      <c r="D80" s="25">
        <v>0.1</v>
      </c>
      <c r="E80" s="25">
        <v>0.08</v>
      </c>
      <c r="F80" s="25">
        <v>0.09</v>
      </c>
      <c r="G80" s="31">
        <v>-0.05</v>
      </c>
      <c r="H80" s="32">
        <v>-0.33329999999999999</v>
      </c>
      <c r="I80" s="25">
        <v>15</v>
      </c>
      <c r="J80" s="25">
        <v>13</v>
      </c>
      <c r="K80" s="27">
        <v>0.1231</v>
      </c>
    </row>
    <row r="81" spans="1:11" s="1" customFormat="1" ht="15" customHeight="1" thickBot="1" x14ac:dyDescent="0.35">
      <c r="A81" s="24" t="s">
        <v>152</v>
      </c>
      <c r="B81" s="25" t="s">
        <v>153</v>
      </c>
      <c r="C81" s="26">
        <v>474</v>
      </c>
      <c r="D81" s="25">
        <v>0.13</v>
      </c>
      <c r="E81" s="25">
        <v>7.0000000000000007E-2</v>
      </c>
      <c r="F81" s="25">
        <v>0.08</v>
      </c>
      <c r="G81" s="25">
        <v>0</v>
      </c>
      <c r="H81" s="25" t="s">
        <v>11</v>
      </c>
      <c r="I81" s="25">
        <v>7</v>
      </c>
      <c r="J81" s="25">
        <v>28</v>
      </c>
      <c r="K81" s="27">
        <v>0.1235</v>
      </c>
    </row>
    <row r="82" spans="1:11" s="1" customFormat="1" ht="15" customHeight="1" thickBot="1" x14ac:dyDescent="0.35">
      <c r="A82" s="24" t="s">
        <v>154</v>
      </c>
      <c r="B82" s="25" t="s">
        <v>118</v>
      </c>
      <c r="C82" s="26">
        <v>475</v>
      </c>
      <c r="D82" s="25">
        <v>0.08</v>
      </c>
      <c r="E82" s="25">
        <v>0.06</v>
      </c>
      <c r="F82" s="25">
        <v>7.0000000000000007E-2</v>
      </c>
      <c r="G82" s="31">
        <v>-0.03</v>
      </c>
      <c r="H82" s="32">
        <v>-0.2727</v>
      </c>
      <c r="I82" s="25">
        <v>462</v>
      </c>
      <c r="J82" s="25">
        <v>527</v>
      </c>
      <c r="K82" s="27">
        <v>0.1235</v>
      </c>
    </row>
    <row r="83" spans="1:11" s="1" customFormat="1" ht="15" customHeight="1" thickBot="1" x14ac:dyDescent="0.35">
      <c r="A83" s="24" t="s">
        <v>155</v>
      </c>
      <c r="B83" s="25" t="s">
        <v>76</v>
      </c>
      <c r="C83" s="26">
        <v>476</v>
      </c>
      <c r="D83" s="25">
        <v>0.06</v>
      </c>
      <c r="E83" s="25">
        <v>0.05</v>
      </c>
      <c r="F83" s="25">
        <v>0.06</v>
      </c>
      <c r="G83" s="31">
        <v>-0.11</v>
      </c>
      <c r="H83" s="32">
        <v>-0.64710000000000001</v>
      </c>
      <c r="I83" s="25">
        <v>14</v>
      </c>
      <c r="J83" s="25">
        <v>30</v>
      </c>
      <c r="K83" s="27">
        <v>0.1235</v>
      </c>
    </row>
    <row r="84" spans="1:11" s="1" customFormat="1" ht="15" customHeight="1" thickBot="1" x14ac:dyDescent="0.35">
      <c r="A84" s="24" t="s">
        <v>156</v>
      </c>
      <c r="B84" s="25" t="s">
        <v>157</v>
      </c>
      <c r="C84" s="26">
        <v>477</v>
      </c>
      <c r="D84" s="25">
        <v>7.0000000000000007E-2</v>
      </c>
      <c r="E84" s="25">
        <v>0.05</v>
      </c>
      <c r="F84" s="25">
        <v>0.06</v>
      </c>
      <c r="G84" s="31">
        <v>-0.02</v>
      </c>
      <c r="H84" s="32">
        <v>-0.22220000000000001</v>
      </c>
      <c r="I84" s="25">
        <v>3</v>
      </c>
      <c r="J84" s="25">
        <v>19</v>
      </c>
      <c r="K84" s="27">
        <v>0.126</v>
      </c>
    </row>
    <row r="85" spans="1:11" s="1" customFormat="1" ht="15" customHeight="1" thickBot="1" x14ac:dyDescent="0.35">
      <c r="A85" s="24" t="s">
        <v>158</v>
      </c>
      <c r="B85" s="25" t="s">
        <v>159</v>
      </c>
      <c r="C85" s="26">
        <v>477.5</v>
      </c>
      <c r="D85" s="25">
        <v>0.05</v>
      </c>
      <c r="E85" s="25">
        <v>0.04</v>
      </c>
      <c r="F85" s="25">
        <v>0.05</v>
      </c>
      <c r="G85" s="31">
        <v>-0.05</v>
      </c>
      <c r="H85" s="32">
        <v>-0.5</v>
      </c>
      <c r="I85" s="25">
        <v>11</v>
      </c>
      <c r="J85" s="25">
        <v>319</v>
      </c>
      <c r="K85" s="27">
        <v>0.1245</v>
      </c>
    </row>
    <row r="86" spans="1:11" s="1" customFormat="1" ht="15" customHeight="1" thickBot="1" x14ac:dyDescent="0.35">
      <c r="A86" s="24" t="s">
        <v>160</v>
      </c>
      <c r="B86" s="25" t="s">
        <v>161</v>
      </c>
      <c r="C86" s="26">
        <v>478</v>
      </c>
      <c r="D86" s="25">
        <v>0.08</v>
      </c>
      <c r="E86" s="25">
        <v>0.04</v>
      </c>
      <c r="F86" s="25">
        <v>0.05</v>
      </c>
      <c r="G86" s="25">
        <v>0</v>
      </c>
      <c r="H86" s="25" t="s">
        <v>11</v>
      </c>
      <c r="I86" s="25">
        <v>1</v>
      </c>
      <c r="J86" s="25">
        <v>21</v>
      </c>
      <c r="K86" s="27">
        <v>0.126</v>
      </c>
    </row>
    <row r="87" spans="1:11" s="1" customFormat="1" ht="15" customHeight="1" thickBot="1" x14ac:dyDescent="0.35">
      <c r="A87" s="24" t="s">
        <v>162</v>
      </c>
      <c r="B87" s="25" t="s">
        <v>91</v>
      </c>
      <c r="C87" s="26">
        <v>479</v>
      </c>
      <c r="D87" s="25">
        <v>0.04</v>
      </c>
      <c r="E87" s="25">
        <v>0.03</v>
      </c>
      <c r="F87" s="25">
        <v>0.05</v>
      </c>
      <c r="G87" s="31">
        <v>-0.04</v>
      </c>
      <c r="H87" s="32">
        <v>-0.5</v>
      </c>
      <c r="I87" s="25">
        <v>797</v>
      </c>
      <c r="J87" s="25">
        <v>2</v>
      </c>
      <c r="K87" s="27">
        <v>0.12790000000000001</v>
      </c>
    </row>
    <row r="88" spans="1:11" s="1" customFormat="1" ht="15" customHeight="1" thickBot="1" x14ac:dyDescent="0.35">
      <c r="A88" s="24" t="s">
        <v>163</v>
      </c>
      <c r="B88" s="25" t="s">
        <v>164</v>
      </c>
      <c r="C88" s="26">
        <v>480</v>
      </c>
      <c r="D88" s="25">
        <v>0.04</v>
      </c>
      <c r="E88" s="25">
        <v>0.03</v>
      </c>
      <c r="F88" s="25">
        <v>0.04</v>
      </c>
      <c r="G88" s="31">
        <v>-0.02</v>
      </c>
      <c r="H88" s="32">
        <v>-0.33329999999999999</v>
      </c>
      <c r="I88" s="28">
        <v>1368</v>
      </c>
      <c r="J88" s="25">
        <v>410</v>
      </c>
      <c r="K88" s="27">
        <v>0.127</v>
      </c>
    </row>
    <row r="89" spans="1:11" s="1" customFormat="1" ht="15" customHeight="1" thickBot="1" x14ac:dyDescent="0.35">
      <c r="A89" s="24" t="s">
        <v>165</v>
      </c>
      <c r="B89" s="25" t="s">
        <v>114</v>
      </c>
      <c r="C89" s="26">
        <v>482</v>
      </c>
      <c r="D89" s="25">
        <v>0.03</v>
      </c>
      <c r="E89" s="25">
        <v>0.02</v>
      </c>
      <c r="F89" s="25">
        <v>0.04</v>
      </c>
      <c r="G89" s="31">
        <v>-0.04</v>
      </c>
      <c r="H89" s="32">
        <v>-0.57140000000000002</v>
      </c>
      <c r="I89" s="25">
        <v>718</v>
      </c>
      <c r="J89" s="25">
        <v>115</v>
      </c>
      <c r="K89" s="27">
        <v>0.1318</v>
      </c>
    </row>
    <row r="90" spans="1:11" s="1" customFormat="1" ht="15" customHeight="1" thickBot="1" x14ac:dyDescent="0.35">
      <c r="A90" s="24" t="s">
        <v>166</v>
      </c>
      <c r="B90" s="25" t="s">
        <v>164</v>
      </c>
      <c r="C90" s="26">
        <v>482.5</v>
      </c>
      <c r="D90" s="25">
        <v>0.03</v>
      </c>
      <c r="E90" s="25">
        <v>0.02</v>
      </c>
      <c r="F90" s="25">
        <v>0.03</v>
      </c>
      <c r="G90" s="31">
        <v>-0.01</v>
      </c>
      <c r="H90" s="32">
        <v>-0.25</v>
      </c>
      <c r="I90" s="25">
        <v>275</v>
      </c>
      <c r="J90" s="25">
        <v>292</v>
      </c>
      <c r="K90" s="27">
        <v>0.12889999999999999</v>
      </c>
    </row>
    <row r="91" spans="1:11" s="1" customFormat="1" ht="15" customHeight="1" thickBot="1" x14ac:dyDescent="0.35">
      <c r="A91" s="24" t="s">
        <v>167</v>
      </c>
      <c r="B91" s="25" t="s">
        <v>168</v>
      </c>
      <c r="C91" s="26">
        <v>483</v>
      </c>
      <c r="D91" s="25">
        <v>0.05</v>
      </c>
      <c r="E91" s="25">
        <v>0.02</v>
      </c>
      <c r="F91" s="25">
        <v>0.03</v>
      </c>
      <c r="G91" s="25">
        <v>0</v>
      </c>
      <c r="H91" s="25" t="s">
        <v>11</v>
      </c>
      <c r="I91" s="25">
        <v>12</v>
      </c>
      <c r="J91" s="28">
        <v>1109</v>
      </c>
      <c r="K91" s="27">
        <v>0.12989999999999999</v>
      </c>
    </row>
    <row r="92" spans="1:11" s="1" customFormat="1" ht="15" customHeight="1" thickBot="1" x14ac:dyDescent="0.35">
      <c r="A92" s="24" t="s">
        <v>169</v>
      </c>
      <c r="B92" s="25" t="s">
        <v>170</v>
      </c>
      <c r="C92" s="26">
        <v>484</v>
      </c>
      <c r="D92" s="25">
        <v>0.02</v>
      </c>
      <c r="E92" s="25">
        <v>0.02</v>
      </c>
      <c r="F92" s="25">
        <v>0.03</v>
      </c>
      <c r="G92" s="31">
        <v>-0.02</v>
      </c>
      <c r="H92" s="32">
        <v>-0.5</v>
      </c>
      <c r="I92" s="25">
        <v>4</v>
      </c>
      <c r="J92" s="28">
        <v>2021</v>
      </c>
      <c r="K92" s="27">
        <v>0.1318</v>
      </c>
    </row>
    <row r="93" spans="1:11" s="1" customFormat="1" ht="15" customHeight="1" thickBot="1" x14ac:dyDescent="0.35">
      <c r="A93" s="24" t="s">
        <v>171</v>
      </c>
      <c r="B93" s="25" t="s">
        <v>172</v>
      </c>
      <c r="C93" s="26">
        <v>485</v>
      </c>
      <c r="D93" s="25">
        <v>0.04</v>
      </c>
      <c r="E93" s="25">
        <v>0.02</v>
      </c>
      <c r="F93" s="25">
        <v>0.03</v>
      </c>
      <c r="G93" s="25">
        <v>0</v>
      </c>
      <c r="H93" s="25" t="s">
        <v>11</v>
      </c>
      <c r="I93" s="25">
        <v>11</v>
      </c>
      <c r="J93" s="25">
        <v>601</v>
      </c>
      <c r="K93" s="27">
        <v>0.1338</v>
      </c>
    </row>
    <row r="94" spans="1:11" s="1" customFormat="1" ht="15" customHeight="1" thickBot="1" x14ac:dyDescent="0.35">
      <c r="A94" s="24" t="s">
        <v>173</v>
      </c>
      <c r="B94" s="25" t="s">
        <v>174</v>
      </c>
      <c r="C94" s="26">
        <v>486</v>
      </c>
      <c r="D94" s="25">
        <v>0.04</v>
      </c>
      <c r="E94" s="25">
        <v>0.02</v>
      </c>
      <c r="F94" s="25">
        <v>0.03</v>
      </c>
      <c r="G94" s="25">
        <v>0</v>
      </c>
      <c r="H94" s="25" t="s">
        <v>11</v>
      </c>
      <c r="I94" s="25" t="s">
        <v>11</v>
      </c>
      <c r="J94" s="28">
        <v>2000</v>
      </c>
      <c r="K94" s="27">
        <v>0.1358</v>
      </c>
    </row>
    <row r="95" spans="1:11" s="1" customFormat="1" ht="15" customHeight="1" thickBot="1" x14ac:dyDescent="0.35">
      <c r="A95" s="24" t="s">
        <v>175</v>
      </c>
      <c r="B95" s="25" t="s">
        <v>174</v>
      </c>
      <c r="C95" s="26">
        <v>487</v>
      </c>
      <c r="D95" s="25">
        <v>0.04</v>
      </c>
      <c r="E95" s="25">
        <v>0.01</v>
      </c>
      <c r="F95" s="25">
        <v>0.03</v>
      </c>
      <c r="G95" s="25">
        <v>0</v>
      </c>
      <c r="H95" s="25" t="s">
        <v>11</v>
      </c>
      <c r="I95" s="25" t="s">
        <v>11</v>
      </c>
      <c r="J95" s="25">
        <v>2</v>
      </c>
      <c r="K95" s="27">
        <v>0.13869999999999999</v>
      </c>
    </row>
    <row r="96" spans="1:11" s="1" customFormat="1" ht="15" customHeight="1" thickBot="1" x14ac:dyDescent="0.35">
      <c r="A96" s="24" t="s">
        <v>176</v>
      </c>
      <c r="B96" s="25" t="s">
        <v>174</v>
      </c>
      <c r="C96" s="26">
        <v>488</v>
      </c>
      <c r="D96" s="25">
        <v>0.04</v>
      </c>
      <c r="E96" s="25">
        <v>0.01</v>
      </c>
      <c r="F96" s="25">
        <v>0.03</v>
      </c>
      <c r="G96" s="25">
        <v>0</v>
      </c>
      <c r="H96" s="25" t="s">
        <v>11</v>
      </c>
      <c r="I96" s="25" t="s">
        <v>11</v>
      </c>
      <c r="J96" s="25">
        <v>25</v>
      </c>
      <c r="K96" s="27">
        <v>0.1406</v>
      </c>
    </row>
    <row r="97" spans="1:11" s="1" customFormat="1" ht="15" customHeight="1" thickBot="1" x14ac:dyDescent="0.35">
      <c r="A97" s="24" t="s">
        <v>177</v>
      </c>
      <c r="B97" s="25" t="s">
        <v>178</v>
      </c>
      <c r="C97" s="26">
        <v>490</v>
      </c>
      <c r="D97" s="25">
        <v>0.02</v>
      </c>
      <c r="E97" s="25">
        <v>0.01</v>
      </c>
      <c r="F97" s="25">
        <v>0.02</v>
      </c>
      <c r="G97" s="31">
        <v>-0.01</v>
      </c>
      <c r="H97" s="32">
        <v>-0.33329999999999999</v>
      </c>
      <c r="I97" s="25">
        <v>208</v>
      </c>
      <c r="J97" s="25">
        <v>315</v>
      </c>
      <c r="K97" s="27">
        <v>0.13869999999999999</v>
      </c>
    </row>
    <row r="98" spans="1:11" s="1" customFormat="1" ht="15" customHeight="1" thickBot="1" x14ac:dyDescent="0.35">
      <c r="A98" s="24" t="s">
        <v>179</v>
      </c>
      <c r="B98" s="25" t="s">
        <v>180</v>
      </c>
      <c r="C98" s="26">
        <v>495</v>
      </c>
      <c r="D98" s="25">
        <v>0.02</v>
      </c>
      <c r="E98" s="25">
        <v>0.01</v>
      </c>
      <c r="F98" s="25">
        <v>0.02</v>
      </c>
      <c r="G98" s="25">
        <v>0</v>
      </c>
      <c r="H98" s="25" t="s">
        <v>11</v>
      </c>
      <c r="I98" s="25">
        <v>933</v>
      </c>
      <c r="J98" s="28">
        <v>1071</v>
      </c>
      <c r="K98" s="27">
        <v>0.1484</v>
      </c>
    </row>
    <row r="99" spans="1:11" s="1" customFormat="1" ht="15" customHeight="1" thickBot="1" x14ac:dyDescent="0.35">
      <c r="A99" s="24" t="s">
        <v>181</v>
      </c>
      <c r="B99" s="25" t="s">
        <v>182</v>
      </c>
      <c r="C99" s="26">
        <v>500</v>
      </c>
      <c r="D99" s="25">
        <v>0.02</v>
      </c>
      <c r="E99" s="25">
        <v>0.01</v>
      </c>
      <c r="F99" s="25">
        <v>0.02</v>
      </c>
      <c r="G99" s="25">
        <v>0</v>
      </c>
      <c r="H99" s="25" t="s">
        <v>11</v>
      </c>
      <c r="I99" s="25">
        <v>564</v>
      </c>
      <c r="J99" s="25">
        <v>412</v>
      </c>
      <c r="K99" s="27">
        <v>0.15920000000000001</v>
      </c>
    </row>
    <row r="100" spans="1:11" s="1" customFormat="1" ht="15" customHeight="1" thickBot="1" x14ac:dyDescent="0.35">
      <c r="A100" s="24" t="s">
        <v>183</v>
      </c>
      <c r="B100" s="25" t="s">
        <v>184</v>
      </c>
      <c r="C100" s="26">
        <v>510</v>
      </c>
      <c r="D100" s="25">
        <v>0.01</v>
      </c>
      <c r="E100" s="25">
        <v>0</v>
      </c>
      <c r="F100" s="25">
        <v>0.01</v>
      </c>
      <c r="G100" s="25">
        <v>0</v>
      </c>
      <c r="H100" s="25" t="s">
        <v>11</v>
      </c>
      <c r="I100" s="25">
        <v>2</v>
      </c>
      <c r="J100" s="25">
        <v>4</v>
      </c>
      <c r="K100" s="27">
        <v>0.16800000000000001</v>
      </c>
    </row>
    <row r="101" spans="1:11" s="1" customFormat="1" ht="15" customHeight="1" thickBot="1" x14ac:dyDescent="0.35">
      <c r="A101" s="24" t="s">
        <v>185</v>
      </c>
      <c r="B101" s="25" t="s">
        <v>186</v>
      </c>
      <c r="C101" s="26">
        <v>520</v>
      </c>
      <c r="D101" s="25">
        <v>0.02</v>
      </c>
      <c r="E101" s="25">
        <v>0</v>
      </c>
      <c r="F101" s="25">
        <v>0.01</v>
      </c>
      <c r="G101" s="25">
        <v>0</v>
      </c>
      <c r="H101" s="25" t="s">
        <v>11</v>
      </c>
      <c r="I101" s="25">
        <v>100</v>
      </c>
      <c r="J101" s="25">
        <v>206</v>
      </c>
      <c r="K101" s="27">
        <v>0.1875</v>
      </c>
    </row>
    <row r="102" spans="1:11" s="1" customFormat="1" ht="15" customHeight="1" x14ac:dyDescent="0.3">
      <c r="A102" s="24" t="s">
        <v>187</v>
      </c>
      <c r="B102" s="25" t="s">
        <v>188</v>
      </c>
      <c r="C102" s="26">
        <v>540</v>
      </c>
      <c r="D102" s="25">
        <v>0.01</v>
      </c>
      <c r="E102" s="25" t="s">
        <v>11</v>
      </c>
      <c r="F102" s="25">
        <v>0.01</v>
      </c>
      <c r="G102" s="25">
        <v>0</v>
      </c>
      <c r="H102" s="25" t="s">
        <v>11</v>
      </c>
      <c r="I102" s="25">
        <v>20</v>
      </c>
      <c r="J102" s="25">
        <v>23</v>
      </c>
      <c r="K102" s="27">
        <v>0.22270000000000001</v>
      </c>
    </row>
    <row r="103" spans="1:11" x14ac:dyDescent="0.35">
      <c r="A103" s="39" t="s">
        <v>189</v>
      </c>
      <c r="B103"/>
      <c r="C103"/>
      <c r="D103"/>
      <c r="E103"/>
      <c r="F103"/>
      <c r="G103"/>
      <c r="H103"/>
      <c r="I103"/>
      <c r="J103"/>
      <c r="K103"/>
    </row>
    <row r="104" spans="1:11" ht="22.5" thickBot="1" x14ac:dyDescent="0.4">
      <c r="A104" s="40" t="s">
        <v>0</v>
      </c>
      <c r="B104" s="41" t="s">
        <v>1</v>
      </c>
      <c r="C104" s="42" t="s">
        <v>2</v>
      </c>
      <c r="D104" s="41" t="s">
        <v>3</v>
      </c>
      <c r="E104" s="41" t="s">
        <v>4</v>
      </c>
      <c r="F104" s="41" t="s">
        <v>5</v>
      </c>
      <c r="G104" s="41" t="s">
        <v>6</v>
      </c>
      <c r="H104" s="41" t="s">
        <v>7</v>
      </c>
      <c r="I104" s="41" t="s">
        <v>8</v>
      </c>
      <c r="J104" s="41" t="s">
        <v>9</v>
      </c>
      <c r="K104" s="41" t="s">
        <v>10</v>
      </c>
    </row>
    <row r="105" spans="1:11" s="1" customFormat="1" ht="15" customHeight="1" thickBot="1" x14ac:dyDescent="0.35">
      <c r="A105" s="24" t="s">
        <v>190</v>
      </c>
      <c r="B105" s="25" t="s">
        <v>191</v>
      </c>
      <c r="C105" s="26">
        <v>240</v>
      </c>
      <c r="D105" s="25">
        <v>0.09</v>
      </c>
      <c r="E105" s="25">
        <v>0.09</v>
      </c>
      <c r="F105" s="25">
        <v>0.1</v>
      </c>
      <c r="G105" s="31">
        <v>-0.05</v>
      </c>
      <c r="H105" s="32">
        <v>-0.35709999999999997</v>
      </c>
      <c r="I105" s="25">
        <v>5</v>
      </c>
      <c r="J105" s="25">
        <v>98</v>
      </c>
      <c r="K105" s="27">
        <v>0.69630000000000003</v>
      </c>
    </row>
    <row r="106" spans="1:11" s="1" customFormat="1" ht="15" customHeight="1" thickBot="1" x14ac:dyDescent="0.35">
      <c r="A106" s="24" t="s">
        <v>192</v>
      </c>
      <c r="B106" s="25" t="s">
        <v>193</v>
      </c>
      <c r="C106" s="26">
        <v>250</v>
      </c>
      <c r="D106" s="25">
        <v>0.12</v>
      </c>
      <c r="E106" s="25">
        <v>0.11</v>
      </c>
      <c r="F106" s="25">
        <v>0.12</v>
      </c>
      <c r="G106" s="31">
        <v>-0.09</v>
      </c>
      <c r="H106" s="32">
        <v>-0.42859999999999998</v>
      </c>
      <c r="I106" s="25">
        <v>25</v>
      </c>
      <c r="J106" s="25">
        <v>80</v>
      </c>
      <c r="K106" s="27">
        <v>0.66600000000000004</v>
      </c>
    </row>
    <row r="107" spans="1:11" s="1" customFormat="1" ht="15" customHeight="1" thickBot="1" x14ac:dyDescent="0.35">
      <c r="A107" s="24" t="s">
        <v>194</v>
      </c>
      <c r="B107" s="25" t="s">
        <v>195</v>
      </c>
      <c r="C107" s="26">
        <v>270</v>
      </c>
      <c r="D107" s="25">
        <v>0.28000000000000003</v>
      </c>
      <c r="E107" s="25">
        <v>0.17</v>
      </c>
      <c r="F107" s="25">
        <v>0.19</v>
      </c>
      <c r="G107" s="25">
        <v>0</v>
      </c>
      <c r="H107" s="25" t="s">
        <v>11</v>
      </c>
      <c r="I107" s="25">
        <v>10</v>
      </c>
      <c r="J107" s="25">
        <v>12</v>
      </c>
      <c r="K107" s="27">
        <v>0.61040000000000005</v>
      </c>
    </row>
    <row r="108" spans="1:11" s="1" customFormat="1" ht="15" customHeight="1" thickBot="1" x14ac:dyDescent="0.35">
      <c r="A108" s="24" t="s">
        <v>196</v>
      </c>
      <c r="B108" s="25" t="s">
        <v>197</v>
      </c>
      <c r="C108" s="26">
        <v>275</v>
      </c>
      <c r="D108" s="25">
        <v>0.17</v>
      </c>
      <c r="E108" s="25">
        <v>0.19</v>
      </c>
      <c r="F108" s="25">
        <v>0.21</v>
      </c>
      <c r="G108" s="31">
        <v>-7.0000000000000007E-2</v>
      </c>
      <c r="H108" s="32">
        <v>-0.29170000000000001</v>
      </c>
      <c r="I108" s="25">
        <v>1</v>
      </c>
      <c r="J108" s="25">
        <v>5</v>
      </c>
      <c r="K108" s="27">
        <v>0.59670000000000001</v>
      </c>
    </row>
    <row r="109" spans="1:11" s="1" customFormat="1" ht="15" customHeight="1" thickBot="1" x14ac:dyDescent="0.35">
      <c r="A109" s="24" t="s">
        <v>198</v>
      </c>
      <c r="B109" s="25" t="s">
        <v>199</v>
      </c>
      <c r="C109" s="26">
        <v>280</v>
      </c>
      <c r="D109" s="25">
        <v>0.19</v>
      </c>
      <c r="E109" s="25">
        <v>0.22</v>
      </c>
      <c r="F109" s="25">
        <v>0.23</v>
      </c>
      <c r="G109" s="33">
        <v>0.01</v>
      </c>
      <c r="H109" s="34">
        <v>5.5599999999999997E-2</v>
      </c>
      <c r="I109" s="25">
        <v>8</v>
      </c>
      <c r="J109" s="25">
        <v>1</v>
      </c>
      <c r="K109" s="27">
        <v>0.58399999999999996</v>
      </c>
    </row>
    <row r="110" spans="1:11" s="1" customFormat="1" ht="15" customHeight="1" thickBot="1" x14ac:dyDescent="0.35">
      <c r="A110" s="24" t="s">
        <v>200</v>
      </c>
      <c r="B110" s="25" t="s">
        <v>201</v>
      </c>
      <c r="C110" s="26">
        <v>285</v>
      </c>
      <c r="D110" s="25">
        <v>0.37</v>
      </c>
      <c r="E110" s="25">
        <v>0.24</v>
      </c>
      <c r="F110" s="25">
        <v>0.25</v>
      </c>
      <c r="G110" s="25">
        <v>0</v>
      </c>
      <c r="H110" s="25" t="s">
        <v>11</v>
      </c>
      <c r="I110" s="25">
        <v>1</v>
      </c>
      <c r="J110" s="25">
        <v>50</v>
      </c>
      <c r="K110" s="27">
        <v>0.56889999999999996</v>
      </c>
    </row>
    <row r="111" spans="1:11" s="1" customFormat="1" ht="15" customHeight="1" thickBot="1" x14ac:dyDescent="0.35">
      <c r="A111" s="24" t="s">
        <v>202</v>
      </c>
      <c r="B111" s="25" t="s">
        <v>203</v>
      </c>
      <c r="C111" s="26">
        <v>290</v>
      </c>
      <c r="D111" s="25">
        <v>0.26</v>
      </c>
      <c r="E111" s="25">
        <v>0.27</v>
      </c>
      <c r="F111" s="25">
        <v>0.28000000000000003</v>
      </c>
      <c r="G111" s="31">
        <v>-0.21</v>
      </c>
      <c r="H111" s="32">
        <v>-0.44679999999999997</v>
      </c>
      <c r="I111" s="25">
        <v>4</v>
      </c>
      <c r="J111" s="25">
        <v>10</v>
      </c>
      <c r="K111" s="27">
        <v>0.55620000000000003</v>
      </c>
    </row>
    <row r="112" spans="1:11" s="1" customFormat="1" ht="15" customHeight="1" thickBot="1" x14ac:dyDescent="0.35">
      <c r="A112" s="24" t="s">
        <v>204</v>
      </c>
      <c r="B112" s="25" t="s">
        <v>205</v>
      </c>
      <c r="C112" s="26">
        <v>295</v>
      </c>
      <c r="D112" s="25">
        <v>0.28999999999999998</v>
      </c>
      <c r="E112" s="25">
        <v>0.3</v>
      </c>
      <c r="F112" s="25">
        <v>0.31</v>
      </c>
      <c r="G112" s="31">
        <v>-0.2</v>
      </c>
      <c r="H112" s="32">
        <v>-0.40820000000000001</v>
      </c>
      <c r="I112" s="25">
        <v>2</v>
      </c>
      <c r="J112" s="25">
        <v>1</v>
      </c>
      <c r="K112" s="27">
        <v>0.54249999999999998</v>
      </c>
    </row>
    <row r="113" spans="1:11" s="1" customFormat="1" ht="15" customHeight="1" thickBot="1" x14ac:dyDescent="0.35">
      <c r="A113" s="24" t="s">
        <v>206</v>
      </c>
      <c r="B113" s="25" t="s">
        <v>57</v>
      </c>
      <c r="C113" s="26">
        <v>300</v>
      </c>
      <c r="D113" s="25">
        <v>0.31</v>
      </c>
      <c r="E113" s="25">
        <v>0.33</v>
      </c>
      <c r="F113" s="25">
        <v>0.34</v>
      </c>
      <c r="G113" s="31">
        <v>-0.09</v>
      </c>
      <c r="H113" s="32">
        <v>-0.22500000000000001</v>
      </c>
      <c r="I113" s="25">
        <v>100</v>
      </c>
      <c r="J113" s="25">
        <v>59</v>
      </c>
      <c r="K113" s="27">
        <v>0.52829999999999999</v>
      </c>
    </row>
    <row r="114" spans="1:11" s="1" customFormat="1" ht="15" customHeight="1" thickBot="1" x14ac:dyDescent="0.35">
      <c r="A114" s="24" t="s">
        <v>207</v>
      </c>
      <c r="B114" s="25" t="s">
        <v>208</v>
      </c>
      <c r="C114" s="26">
        <v>305</v>
      </c>
      <c r="D114" s="25">
        <v>0.48</v>
      </c>
      <c r="E114" s="25">
        <v>0.37</v>
      </c>
      <c r="F114" s="25">
        <v>0.38</v>
      </c>
      <c r="G114" s="25">
        <v>0</v>
      </c>
      <c r="H114" s="25" t="s">
        <v>11</v>
      </c>
      <c r="I114" s="25">
        <v>58</v>
      </c>
      <c r="J114" s="25">
        <v>57</v>
      </c>
      <c r="K114" s="27">
        <v>0.51559999999999995</v>
      </c>
    </row>
    <row r="115" spans="1:11" s="1" customFormat="1" ht="15" customHeight="1" thickBot="1" x14ac:dyDescent="0.35">
      <c r="A115" s="24" t="s">
        <v>209</v>
      </c>
      <c r="B115" s="25" t="s">
        <v>210</v>
      </c>
      <c r="C115" s="26">
        <v>310</v>
      </c>
      <c r="D115" s="25">
        <v>0.35</v>
      </c>
      <c r="E115" s="25">
        <v>0.4</v>
      </c>
      <c r="F115" s="25">
        <v>0.42</v>
      </c>
      <c r="G115" s="31">
        <v>-0.21</v>
      </c>
      <c r="H115" s="32">
        <v>-0.375</v>
      </c>
      <c r="I115" s="25">
        <v>4</v>
      </c>
      <c r="J115" s="25">
        <v>91</v>
      </c>
      <c r="K115" s="27">
        <v>0.50149999999999995</v>
      </c>
    </row>
    <row r="116" spans="1:11" s="1" customFormat="1" ht="15" customHeight="1" thickBot="1" x14ac:dyDescent="0.35">
      <c r="A116" s="24" t="s">
        <v>211</v>
      </c>
      <c r="B116" s="25" t="s">
        <v>212</v>
      </c>
      <c r="C116" s="26">
        <v>315</v>
      </c>
      <c r="D116" s="25">
        <v>0.45</v>
      </c>
      <c r="E116" s="25">
        <v>0.45</v>
      </c>
      <c r="F116" s="25">
        <v>0.46</v>
      </c>
      <c r="G116" s="33">
        <v>7.0000000000000007E-2</v>
      </c>
      <c r="H116" s="34">
        <v>0.1842</v>
      </c>
      <c r="I116" s="25">
        <v>21</v>
      </c>
      <c r="J116" s="25">
        <v>15</v>
      </c>
      <c r="K116" s="27">
        <v>0.48880000000000001</v>
      </c>
    </row>
    <row r="117" spans="1:11" s="1" customFormat="1" ht="15" customHeight="1" thickBot="1" x14ac:dyDescent="0.35">
      <c r="A117" s="24" t="s">
        <v>213</v>
      </c>
      <c r="B117" s="25" t="s">
        <v>214</v>
      </c>
      <c r="C117" s="26">
        <v>320</v>
      </c>
      <c r="D117" s="25">
        <v>0.54</v>
      </c>
      <c r="E117" s="25">
        <v>0.49</v>
      </c>
      <c r="F117" s="25">
        <v>0.51</v>
      </c>
      <c r="G117" s="31">
        <v>-0.32</v>
      </c>
      <c r="H117" s="32">
        <v>-0.37209999999999999</v>
      </c>
      <c r="I117" s="25">
        <v>13</v>
      </c>
      <c r="J117" s="25">
        <v>13</v>
      </c>
      <c r="K117" s="27">
        <v>0.47560000000000002</v>
      </c>
    </row>
    <row r="118" spans="1:11" s="1" customFormat="1" ht="15" customHeight="1" thickBot="1" x14ac:dyDescent="0.35">
      <c r="A118" s="24" t="s">
        <v>215</v>
      </c>
      <c r="B118" s="25" t="s">
        <v>216</v>
      </c>
      <c r="C118" s="26">
        <v>325</v>
      </c>
      <c r="D118" s="25">
        <v>0.52</v>
      </c>
      <c r="E118" s="25">
        <v>0.54</v>
      </c>
      <c r="F118" s="25">
        <v>0.56000000000000005</v>
      </c>
      <c r="G118" s="31">
        <v>-0.28000000000000003</v>
      </c>
      <c r="H118" s="32">
        <v>-0.35</v>
      </c>
      <c r="I118" s="25">
        <v>12</v>
      </c>
      <c r="J118" s="25">
        <v>37</v>
      </c>
      <c r="K118" s="27">
        <v>0.46139999999999998</v>
      </c>
    </row>
    <row r="119" spans="1:11" s="1" customFormat="1" ht="15" customHeight="1" thickBot="1" x14ac:dyDescent="0.35">
      <c r="A119" s="24" t="s">
        <v>217</v>
      </c>
      <c r="B119" s="25" t="s">
        <v>218</v>
      </c>
      <c r="C119" s="26">
        <v>330</v>
      </c>
      <c r="D119" s="25">
        <v>0.53</v>
      </c>
      <c r="E119" s="25">
        <v>0.6</v>
      </c>
      <c r="F119" s="25">
        <v>0.61</v>
      </c>
      <c r="G119" s="31">
        <v>-0.18</v>
      </c>
      <c r="H119" s="32">
        <v>-0.2535</v>
      </c>
      <c r="I119" s="25">
        <v>507</v>
      </c>
      <c r="J119" s="25">
        <v>891</v>
      </c>
      <c r="K119" s="27">
        <v>0.44679999999999997</v>
      </c>
    </row>
    <row r="120" spans="1:11" s="1" customFormat="1" ht="15" customHeight="1" thickBot="1" x14ac:dyDescent="0.35">
      <c r="A120" s="24" t="s">
        <v>219</v>
      </c>
      <c r="B120" s="25" t="s">
        <v>220</v>
      </c>
      <c r="C120" s="26">
        <v>335</v>
      </c>
      <c r="D120" s="25">
        <v>0.66</v>
      </c>
      <c r="E120" s="25">
        <v>0.66</v>
      </c>
      <c r="F120" s="25">
        <v>0.68</v>
      </c>
      <c r="G120" s="31">
        <v>-0.21</v>
      </c>
      <c r="H120" s="32">
        <v>-0.2414</v>
      </c>
      <c r="I120" s="25">
        <v>102</v>
      </c>
      <c r="J120" s="25">
        <v>165</v>
      </c>
      <c r="K120" s="27">
        <v>0.43380000000000002</v>
      </c>
    </row>
    <row r="121" spans="1:11" s="1" customFormat="1" ht="15" customHeight="1" thickBot="1" x14ac:dyDescent="0.35">
      <c r="A121" s="24" t="s">
        <v>221</v>
      </c>
      <c r="B121" s="25" t="s">
        <v>222</v>
      </c>
      <c r="C121" s="26">
        <v>340</v>
      </c>
      <c r="D121" s="25">
        <v>0.73</v>
      </c>
      <c r="E121" s="25">
        <v>0.74</v>
      </c>
      <c r="F121" s="25">
        <v>0.75</v>
      </c>
      <c r="G121" s="31">
        <v>-0.34</v>
      </c>
      <c r="H121" s="32">
        <v>-0.31780000000000003</v>
      </c>
      <c r="I121" s="25">
        <v>8</v>
      </c>
      <c r="J121" s="25">
        <v>238</v>
      </c>
      <c r="K121" s="27">
        <v>0.4199</v>
      </c>
    </row>
    <row r="122" spans="1:11" s="1" customFormat="1" ht="15" customHeight="1" thickBot="1" x14ac:dyDescent="0.35">
      <c r="A122" s="24" t="s">
        <v>223</v>
      </c>
      <c r="B122" s="25" t="s">
        <v>224</v>
      </c>
      <c r="C122" s="26">
        <v>345</v>
      </c>
      <c r="D122" s="25">
        <v>0.84</v>
      </c>
      <c r="E122" s="25">
        <v>0.82</v>
      </c>
      <c r="F122" s="25">
        <v>0.84</v>
      </c>
      <c r="G122" s="31">
        <v>-0.17</v>
      </c>
      <c r="H122" s="32">
        <v>-0.16830000000000001</v>
      </c>
      <c r="I122" s="25">
        <v>104</v>
      </c>
      <c r="J122" s="25">
        <v>103</v>
      </c>
      <c r="K122" s="27">
        <v>0.40720000000000001</v>
      </c>
    </row>
    <row r="123" spans="1:11" s="1" customFormat="1" ht="15" customHeight="1" thickBot="1" x14ac:dyDescent="0.35">
      <c r="A123" s="24" t="s">
        <v>225</v>
      </c>
      <c r="B123" s="25" t="s">
        <v>226</v>
      </c>
      <c r="C123" s="26">
        <v>350</v>
      </c>
      <c r="D123" s="25">
        <v>0.91</v>
      </c>
      <c r="E123" s="25">
        <v>0.92</v>
      </c>
      <c r="F123" s="25">
        <v>0.93</v>
      </c>
      <c r="G123" s="31">
        <v>-0.19</v>
      </c>
      <c r="H123" s="32">
        <v>-0.17269999999999999</v>
      </c>
      <c r="I123" s="25">
        <v>288</v>
      </c>
      <c r="J123" s="25">
        <v>807</v>
      </c>
      <c r="K123" s="27">
        <v>0.39340000000000003</v>
      </c>
    </row>
    <row r="124" spans="1:11" s="1" customFormat="1" ht="15" customHeight="1" thickBot="1" x14ac:dyDescent="0.35">
      <c r="A124" s="24" t="s">
        <v>227</v>
      </c>
      <c r="B124" s="25" t="s">
        <v>70</v>
      </c>
      <c r="C124" s="26">
        <v>355</v>
      </c>
      <c r="D124" s="25">
        <v>1.05</v>
      </c>
      <c r="E124" s="25">
        <v>1.04</v>
      </c>
      <c r="F124" s="25">
        <v>1.06</v>
      </c>
      <c r="G124" s="31">
        <v>-0.14000000000000001</v>
      </c>
      <c r="H124" s="32">
        <v>-0.1176</v>
      </c>
      <c r="I124" s="25">
        <v>179</v>
      </c>
      <c r="J124" s="25">
        <v>338</v>
      </c>
      <c r="K124" s="27">
        <v>0.38179999999999997</v>
      </c>
    </row>
    <row r="125" spans="1:11" s="1" customFormat="1" ht="15" customHeight="1" thickBot="1" x14ac:dyDescent="0.35">
      <c r="A125" s="24" t="s">
        <v>228</v>
      </c>
      <c r="B125" s="25" t="s">
        <v>229</v>
      </c>
      <c r="C125" s="26">
        <v>358</v>
      </c>
      <c r="D125" s="25">
        <v>1.0900000000000001</v>
      </c>
      <c r="E125" s="25">
        <v>1.1200000000000001</v>
      </c>
      <c r="F125" s="25">
        <v>1.1399999999999999</v>
      </c>
      <c r="G125" s="31">
        <v>-0.59</v>
      </c>
      <c r="H125" s="32">
        <v>-0.35120000000000001</v>
      </c>
      <c r="I125" s="25">
        <v>8</v>
      </c>
      <c r="J125" s="25">
        <v>22</v>
      </c>
      <c r="K125" s="27">
        <v>0.37440000000000001</v>
      </c>
    </row>
    <row r="126" spans="1:11" s="1" customFormat="1" ht="15" customHeight="1" thickBot="1" x14ac:dyDescent="0.35">
      <c r="A126" s="24" t="s">
        <v>230</v>
      </c>
      <c r="B126" s="25" t="s">
        <v>65</v>
      </c>
      <c r="C126" s="26">
        <v>360</v>
      </c>
      <c r="D126" s="25">
        <v>1.1100000000000001</v>
      </c>
      <c r="E126" s="25">
        <v>1.18</v>
      </c>
      <c r="F126" s="25">
        <v>1.2</v>
      </c>
      <c r="G126" s="31">
        <v>-0.3</v>
      </c>
      <c r="H126" s="32">
        <v>-0.21279999999999999</v>
      </c>
      <c r="I126" s="25">
        <v>80</v>
      </c>
      <c r="J126" s="25">
        <v>139</v>
      </c>
      <c r="K126" s="27">
        <v>0.36959999999999998</v>
      </c>
    </row>
    <row r="127" spans="1:11" s="1" customFormat="1" ht="15" customHeight="1" thickBot="1" x14ac:dyDescent="0.35">
      <c r="A127" s="24" t="s">
        <v>231</v>
      </c>
      <c r="B127" s="25" t="s">
        <v>132</v>
      </c>
      <c r="C127" s="26">
        <v>362</v>
      </c>
      <c r="D127" s="25">
        <v>1.1000000000000001</v>
      </c>
      <c r="E127" s="25">
        <v>1.25</v>
      </c>
      <c r="F127" s="25">
        <v>1.27</v>
      </c>
      <c r="G127" s="31">
        <v>-0.36</v>
      </c>
      <c r="H127" s="32">
        <v>-0.24660000000000001</v>
      </c>
      <c r="I127" s="25">
        <v>7</v>
      </c>
      <c r="J127" s="25">
        <v>420</v>
      </c>
      <c r="K127" s="27">
        <v>0.36520000000000002</v>
      </c>
    </row>
    <row r="128" spans="1:11" s="1" customFormat="1" ht="15" customHeight="1" thickBot="1" x14ac:dyDescent="0.35">
      <c r="A128" s="24" t="s">
        <v>232</v>
      </c>
      <c r="B128" s="25" t="s">
        <v>191</v>
      </c>
      <c r="C128" s="26">
        <v>364</v>
      </c>
      <c r="D128" s="25">
        <v>1.26</v>
      </c>
      <c r="E128" s="25">
        <v>1.32</v>
      </c>
      <c r="F128" s="25">
        <v>1.34</v>
      </c>
      <c r="G128" s="31">
        <v>-0.51</v>
      </c>
      <c r="H128" s="32">
        <v>-0.28810000000000002</v>
      </c>
      <c r="I128" s="25">
        <v>1</v>
      </c>
      <c r="J128" s="25">
        <v>66</v>
      </c>
      <c r="K128" s="27">
        <v>0.36059999999999998</v>
      </c>
    </row>
    <row r="129" spans="1:11" s="1" customFormat="1" ht="15" customHeight="1" thickBot="1" x14ac:dyDescent="0.35">
      <c r="A129" s="24" t="s">
        <v>233</v>
      </c>
      <c r="B129" s="25" t="s">
        <v>78</v>
      </c>
      <c r="C129" s="26">
        <v>365</v>
      </c>
      <c r="D129" s="25">
        <v>1.25</v>
      </c>
      <c r="E129" s="25">
        <v>1.35</v>
      </c>
      <c r="F129" s="25">
        <v>1.37</v>
      </c>
      <c r="G129" s="31">
        <v>-0.95</v>
      </c>
      <c r="H129" s="32">
        <v>-0.43180000000000002</v>
      </c>
      <c r="I129" s="25">
        <v>151</v>
      </c>
      <c r="J129" s="25">
        <v>157</v>
      </c>
      <c r="K129" s="27">
        <v>0.3579</v>
      </c>
    </row>
    <row r="130" spans="1:11" s="1" customFormat="1" ht="15" customHeight="1" thickBot="1" x14ac:dyDescent="0.35">
      <c r="A130" s="24" t="s">
        <v>234</v>
      </c>
      <c r="B130" s="25" t="s">
        <v>235</v>
      </c>
      <c r="C130" s="26">
        <v>366</v>
      </c>
      <c r="D130" s="25">
        <v>2.29</v>
      </c>
      <c r="E130" s="25">
        <v>1.39</v>
      </c>
      <c r="F130" s="25">
        <v>1.41</v>
      </c>
      <c r="G130" s="25">
        <v>0</v>
      </c>
      <c r="H130" s="25" t="s">
        <v>11</v>
      </c>
      <c r="I130" s="25">
        <v>84</v>
      </c>
      <c r="J130" s="25">
        <v>97</v>
      </c>
      <c r="K130" s="27">
        <v>0.35570000000000002</v>
      </c>
    </row>
    <row r="131" spans="1:11" s="1" customFormat="1" ht="15" customHeight="1" thickBot="1" x14ac:dyDescent="0.35">
      <c r="A131" s="24" t="s">
        <v>236</v>
      </c>
      <c r="B131" s="25" t="s">
        <v>237</v>
      </c>
      <c r="C131" s="26">
        <v>368</v>
      </c>
      <c r="D131" s="25">
        <v>1.28</v>
      </c>
      <c r="E131" s="25">
        <v>1.47</v>
      </c>
      <c r="F131" s="25">
        <v>1.49</v>
      </c>
      <c r="G131" s="31">
        <v>-0.75</v>
      </c>
      <c r="H131" s="32">
        <v>-0.3695</v>
      </c>
      <c r="I131" s="25">
        <v>16</v>
      </c>
      <c r="J131" s="25">
        <v>126</v>
      </c>
      <c r="K131" s="27">
        <v>0.35120000000000001</v>
      </c>
    </row>
    <row r="132" spans="1:11" s="1" customFormat="1" ht="15" customHeight="1" thickBot="1" x14ac:dyDescent="0.35">
      <c r="A132" s="24" t="s">
        <v>238</v>
      </c>
      <c r="B132" s="25" t="s">
        <v>239</v>
      </c>
      <c r="C132" s="26">
        <v>370</v>
      </c>
      <c r="D132" s="25">
        <v>1.57</v>
      </c>
      <c r="E132" s="25">
        <v>1.56</v>
      </c>
      <c r="F132" s="25">
        <v>1.58</v>
      </c>
      <c r="G132" s="31">
        <v>-0.19</v>
      </c>
      <c r="H132" s="32">
        <v>-0.108</v>
      </c>
      <c r="I132" s="25">
        <v>243</v>
      </c>
      <c r="J132" s="28">
        <v>5058</v>
      </c>
      <c r="K132" s="27">
        <v>0.34689999999999999</v>
      </c>
    </row>
    <row r="133" spans="1:11" s="1" customFormat="1" ht="15" customHeight="1" thickBot="1" x14ac:dyDescent="0.35">
      <c r="A133" s="24" t="s">
        <v>240</v>
      </c>
      <c r="B133" s="25" t="s">
        <v>132</v>
      </c>
      <c r="C133" s="26">
        <v>372</v>
      </c>
      <c r="D133" s="25">
        <v>1.43</v>
      </c>
      <c r="E133" s="25">
        <v>1.65</v>
      </c>
      <c r="F133" s="25">
        <v>1.68</v>
      </c>
      <c r="G133" s="31">
        <v>-1.34</v>
      </c>
      <c r="H133" s="32">
        <v>-0.48380000000000001</v>
      </c>
      <c r="I133" s="25">
        <v>104</v>
      </c>
      <c r="J133" s="25">
        <v>99</v>
      </c>
      <c r="K133" s="27">
        <v>0.34289999999999998</v>
      </c>
    </row>
    <row r="134" spans="1:11" s="1" customFormat="1" ht="15" customHeight="1" thickBot="1" x14ac:dyDescent="0.35">
      <c r="A134" s="24" t="s">
        <v>241</v>
      </c>
      <c r="B134" s="25" t="s">
        <v>78</v>
      </c>
      <c r="C134" s="26">
        <v>375</v>
      </c>
      <c r="D134" s="25">
        <v>1.67</v>
      </c>
      <c r="E134" s="25">
        <v>1.81</v>
      </c>
      <c r="F134" s="25">
        <v>1.83</v>
      </c>
      <c r="G134" s="31">
        <v>-0.44</v>
      </c>
      <c r="H134" s="32">
        <v>-0.20849999999999999</v>
      </c>
      <c r="I134" s="25">
        <v>270</v>
      </c>
      <c r="J134" s="25">
        <v>916</v>
      </c>
      <c r="K134" s="27">
        <v>0.3362</v>
      </c>
    </row>
    <row r="135" spans="1:11" s="1" customFormat="1" ht="15" customHeight="1" thickBot="1" x14ac:dyDescent="0.35">
      <c r="A135" s="24" t="s">
        <v>242</v>
      </c>
      <c r="B135" s="25" t="s">
        <v>243</v>
      </c>
      <c r="C135" s="26">
        <v>380</v>
      </c>
      <c r="D135" s="25">
        <v>1.88</v>
      </c>
      <c r="E135" s="25">
        <v>2.1</v>
      </c>
      <c r="F135" s="25">
        <v>2.13</v>
      </c>
      <c r="G135" s="31">
        <v>-0.44</v>
      </c>
      <c r="H135" s="32">
        <v>-0.18970000000000001</v>
      </c>
      <c r="I135" s="25">
        <v>574</v>
      </c>
      <c r="J135" s="28">
        <v>1145</v>
      </c>
      <c r="K135" s="27">
        <v>0.32579999999999998</v>
      </c>
    </row>
    <row r="136" spans="1:11" s="1" customFormat="1" ht="15" customHeight="1" thickBot="1" x14ac:dyDescent="0.35">
      <c r="A136" s="24" t="s">
        <v>244</v>
      </c>
      <c r="B136" s="25" t="s">
        <v>127</v>
      </c>
      <c r="C136" s="26">
        <v>385</v>
      </c>
      <c r="D136" s="25">
        <v>2.21</v>
      </c>
      <c r="E136" s="25">
        <v>2.4500000000000002</v>
      </c>
      <c r="F136" s="25">
        <v>2.48</v>
      </c>
      <c r="G136" s="31">
        <v>-0.5</v>
      </c>
      <c r="H136" s="32">
        <v>-0.1845</v>
      </c>
      <c r="I136" s="25">
        <v>472</v>
      </c>
      <c r="J136" s="25">
        <v>646</v>
      </c>
      <c r="K136" s="27">
        <v>0.31530000000000002</v>
      </c>
    </row>
    <row r="137" spans="1:11" s="1" customFormat="1" ht="15" customHeight="1" thickBot="1" x14ac:dyDescent="0.35">
      <c r="A137" s="24" t="s">
        <v>245</v>
      </c>
      <c r="B137" s="25" t="s">
        <v>91</v>
      </c>
      <c r="C137" s="26">
        <v>390</v>
      </c>
      <c r="D137" s="25">
        <v>2.78</v>
      </c>
      <c r="E137" s="25">
        <v>2.87</v>
      </c>
      <c r="F137" s="25">
        <v>2.9</v>
      </c>
      <c r="G137" s="31">
        <v>-0.53</v>
      </c>
      <c r="H137" s="32">
        <v>-0.16009999999999999</v>
      </c>
      <c r="I137" s="25">
        <v>659</v>
      </c>
      <c r="J137" s="28">
        <v>1911</v>
      </c>
      <c r="K137" s="27">
        <v>0.30499999999999999</v>
      </c>
    </row>
    <row r="138" spans="1:11" s="1" customFormat="1" ht="15" customHeight="1" thickBot="1" x14ac:dyDescent="0.35">
      <c r="A138" s="24" t="s">
        <v>246</v>
      </c>
      <c r="B138" s="25" t="s">
        <v>74</v>
      </c>
      <c r="C138" s="26">
        <v>395</v>
      </c>
      <c r="D138" s="25">
        <v>3.32</v>
      </c>
      <c r="E138" s="25">
        <v>3.36</v>
      </c>
      <c r="F138" s="25">
        <v>3.4</v>
      </c>
      <c r="G138" s="31">
        <v>-0.39</v>
      </c>
      <c r="H138" s="32">
        <v>-0.1051</v>
      </c>
      <c r="I138" s="25">
        <v>385</v>
      </c>
      <c r="J138" s="28">
        <v>6128</v>
      </c>
      <c r="K138" s="27">
        <v>0.2949</v>
      </c>
    </row>
    <row r="139" spans="1:11" s="1" customFormat="1" ht="15" customHeight="1" thickBot="1" x14ac:dyDescent="0.35">
      <c r="A139" s="24" t="s">
        <v>247</v>
      </c>
      <c r="B139" s="25" t="s">
        <v>110</v>
      </c>
      <c r="C139" s="26">
        <v>398</v>
      </c>
      <c r="D139" s="25">
        <v>3.74</v>
      </c>
      <c r="E139" s="25">
        <v>3.7</v>
      </c>
      <c r="F139" s="25">
        <v>3.73</v>
      </c>
      <c r="G139" s="31">
        <v>-0.74</v>
      </c>
      <c r="H139" s="32">
        <v>-0.16520000000000001</v>
      </c>
      <c r="I139" s="25">
        <v>105</v>
      </c>
      <c r="J139" s="25">
        <v>272</v>
      </c>
      <c r="K139" s="27">
        <v>0.28839999999999999</v>
      </c>
    </row>
    <row r="140" spans="1:11" s="1" customFormat="1" ht="15" customHeight="1" thickBot="1" x14ac:dyDescent="0.35">
      <c r="A140" s="24" t="s">
        <v>248</v>
      </c>
      <c r="B140" s="25" t="s">
        <v>65</v>
      </c>
      <c r="C140" s="26">
        <v>400</v>
      </c>
      <c r="D140" s="25">
        <v>3.6</v>
      </c>
      <c r="E140" s="25">
        <v>3.94</v>
      </c>
      <c r="F140" s="25">
        <v>3.98</v>
      </c>
      <c r="G140" s="31">
        <v>-0.79</v>
      </c>
      <c r="H140" s="32">
        <v>-0.18</v>
      </c>
      <c r="I140" s="25">
        <v>874</v>
      </c>
      <c r="J140" s="28">
        <v>2657</v>
      </c>
      <c r="K140" s="27">
        <v>0.28439999999999999</v>
      </c>
    </row>
    <row r="141" spans="1:11" s="1" customFormat="1" ht="15" customHeight="1" thickBot="1" x14ac:dyDescent="0.35">
      <c r="A141" s="24" t="s">
        <v>249</v>
      </c>
      <c r="B141" s="25" t="s">
        <v>114</v>
      </c>
      <c r="C141" s="26">
        <v>402</v>
      </c>
      <c r="D141" s="25">
        <v>4.08</v>
      </c>
      <c r="E141" s="25">
        <v>4.2</v>
      </c>
      <c r="F141" s="25">
        <v>4.24</v>
      </c>
      <c r="G141" s="31">
        <v>-0.61</v>
      </c>
      <c r="H141" s="32">
        <v>-0.13009999999999999</v>
      </c>
      <c r="I141" s="25">
        <v>213</v>
      </c>
      <c r="J141" s="25">
        <v>482</v>
      </c>
      <c r="K141" s="27">
        <v>0.2802</v>
      </c>
    </row>
    <row r="142" spans="1:11" s="1" customFormat="1" ht="15" customHeight="1" thickBot="1" x14ac:dyDescent="0.35">
      <c r="A142" s="24" t="s">
        <v>250</v>
      </c>
      <c r="B142" s="25" t="s">
        <v>251</v>
      </c>
      <c r="C142" s="26">
        <v>403</v>
      </c>
      <c r="D142" s="25">
        <v>3.6</v>
      </c>
      <c r="E142" s="25">
        <v>4.34</v>
      </c>
      <c r="F142" s="25">
        <v>4.38</v>
      </c>
      <c r="G142" s="31">
        <v>-2.46</v>
      </c>
      <c r="H142" s="32">
        <v>-0.40589999999999998</v>
      </c>
      <c r="I142" s="25">
        <v>621</v>
      </c>
      <c r="J142" s="25">
        <v>228</v>
      </c>
      <c r="K142" s="27">
        <v>0.2782</v>
      </c>
    </row>
    <row r="143" spans="1:11" s="1" customFormat="1" ht="15" customHeight="1" thickBot="1" x14ac:dyDescent="0.35">
      <c r="A143" s="24" t="s">
        <v>252</v>
      </c>
      <c r="B143" s="25" t="s">
        <v>253</v>
      </c>
      <c r="C143" s="26">
        <v>404</v>
      </c>
      <c r="D143" s="25">
        <v>3.89</v>
      </c>
      <c r="E143" s="25">
        <v>4.4800000000000004</v>
      </c>
      <c r="F143" s="25">
        <v>4.5199999999999996</v>
      </c>
      <c r="G143" s="31">
        <v>-1.35</v>
      </c>
      <c r="H143" s="32">
        <v>-0.2576</v>
      </c>
      <c r="I143" s="25">
        <v>319</v>
      </c>
      <c r="J143" s="25">
        <v>354</v>
      </c>
      <c r="K143" s="27">
        <v>0.27600000000000002</v>
      </c>
    </row>
    <row r="144" spans="1:11" s="1" customFormat="1" ht="15" customHeight="1" thickBot="1" x14ac:dyDescent="0.35">
      <c r="A144" s="24" t="s">
        <v>254</v>
      </c>
      <c r="B144" s="25" t="s">
        <v>74</v>
      </c>
      <c r="C144" s="26">
        <v>405</v>
      </c>
      <c r="D144" s="25">
        <v>4.55</v>
      </c>
      <c r="E144" s="25">
        <v>4.62</v>
      </c>
      <c r="F144" s="25">
        <v>4.66</v>
      </c>
      <c r="G144" s="31">
        <v>-0.24</v>
      </c>
      <c r="H144" s="32">
        <v>-5.0099999999999999E-2</v>
      </c>
      <c r="I144" s="25">
        <v>331</v>
      </c>
      <c r="J144" s="28">
        <v>1246</v>
      </c>
      <c r="K144" s="27">
        <v>0.2737</v>
      </c>
    </row>
    <row r="145" spans="1:11" s="1" customFormat="1" ht="15" customHeight="1" thickBot="1" x14ac:dyDescent="0.35">
      <c r="A145" s="24" t="s">
        <v>255</v>
      </c>
      <c r="B145" s="25" t="s">
        <v>256</v>
      </c>
      <c r="C145" s="26">
        <v>406</v>
      </c>
      <c r="D145" s="25">
        <v>4.1399999999999997</v>
      </c>
      <c r="E145" s="25">
        <v>4.7699999999999996</v>
      </c>
      <c r="F145" s="25">
        <v>4.8099999999999996</v>
      </c>
      <c r="G145" s="31">
        <v>-0.95</v>
      </c>
      <c r="H145" s="32">
        <v>-0.18659999999999999</v>
      </c>
      <c r="I145" s="25">
        <v>189</v>
      </c>
      <c r="J145" s="25">
        <v>159</v>
      </c>
      <c r="K145" s="27">
        <v>0.27160000000000001</v>
      </c>
    </row>
    <row r="146" spans="1:11" s="1" customFormat="1" ht="15" customHeight="1" thickBot="1" x14ac:dyDescent="0.35">
      <c r="A146" s="24" t="s">
        <v>257</v>
      </c>
      <c r="B146" s="25" t="s">
        <v>84</v>
      </c>
      <c r="C146" s="26">
        <v>408</v>
      </c>
      <c r="D146" s="25">
        <v>5.0599999999999996</v>
      </c>
      <c r="E146" s="25">
        <v>5.08</v>
      </c>
      <c r="F146" s="25">
        <v>5.12</v>
      </c>
      <c r="G146" s="31">
        <v>-0.09</v>
      </c>
      <c r="H146" s="32">
        <v>-1.7500000000000002E-2</v>
      </c>
      <c r="I146" s="25">
        <v>270</v>
      </c>
      <c r="J146" s="25">
        <v>707</v>
      </c>
      <c r="K146" s="27">
        <v>0.26719999999999999</v>
      </c>
    </row>
    <row r="147" spans="1:11" s="1" customFormat="1" ht="15" customHeight="1" thickBot="1" x14ac:dyDescent="0.35">
      <c r="A147" s="24" t="s">
        <v>258</v>
      </c>
      <c r="B147" s="25" t="s">
        <v>96</v>
      </c>
      <c r="C147" s="26">
        <v>409</v>
      </c>
      <c r="D147" s="25">
        <v>4.95</v>
      </c>
      <c r="E147" s="25">
        <v>5.24</v>
      </c>
      <c r="F147" s="25">
        <v>5.29</v>
      </c>
      <c r="G147" s="31">
        <v>-0.47</v>
      </c>
      <c r="H147" s="32">
        <v>-8.6699999999999999E-2</v>
      </c>
      <c r="I147" s="25">
        <v>116</v>
      </c>
      <c r="J147" s="25">
        <v>172</v>
      </c>
      <c r="K147" s="27">
        <v>0.2651</v>
      </c>
    </row>
    <row r="148" spans="1:11" s="1" customFormat="1" ht="15" customHeight="1" thickBot="1" x14ac:dyDescent="0.35">
      <c r="A148" s="24" t="s">
        <v>259</v>
      </c>
      <c r="B148" s="25" t="s">
        <v>164</v>
      </c>
      <c r="C148" s="26">
        <v>410</v>
      </c>
      <c r="D148" s="25">
        <v>5.23</v>
      </c>
      <c r="E148" s="25">
        <v>5.41</v>
      </c>
      <c r="F148" s="25">
        <v>5.45</v>
      </c>
      <c r="G148" s="31">
        <v>-0.67</v>
      </c>
      <c r="H148" s="32">
        <v>-0.11360000000000001</v>
      </c>
      <c r="I148" s="28">
        <v>6479</v>
      </c>
      <c r="J148" s="28">
        <v>1974</v>
      </c>
      <c r="K148" s="27">
        <v>0.26279999999999998</v>
      </c>
    </row>
    <row r="149" spans="1:11" s="1" customFormat="1" ht="15" customHeight="1" thickBot="1" x14ac:dyDescent="0.35">
      <c r="A149" s="24" t="s">
        <v>260</v>
      </c>
      <c r="B149" s="25" t="s">
        <v>87</v>
      </c>
      <c r="C149" s="26">
        <v>411</v>
      </c>
      <c r="D149" s="25">
        <v>5.53</v>
      </c>
      <c r="E149" s="25">
        <v>5.58</v>
      </c>
      <c r="F149" s="25">
        <v>5.63</v>
      </c>
      <c r="G149" s="31">
        <v>-0.26</v>
      </c>
      <c r="H149" s="32">
        <v>-4.4900000000000002E-2</v>
      </c>
      <c r="I149" s="25">
        <v>82</v>
      </c>
      <c r="J149" s="25">
        <v>127</v>
      </c>
      <c r="K149" s="27">
        <v>0.26069999999999999</v>
      </c>
    </row>
    <row r="150" spans="1:11" s="1" customFormat="1" ht="15" customHeight="1" thickBot="1" x14ac:dyDescent="0.35">
      <c r="A150" s="24" t="s">
        <v>261</v>
      </c>
      <c r="B150" s="25" t="s">
        <v>262</v>
      </c>
      <c r="C150" s="26">
        <v>412</v>
      </c>
      <c r="D150" s="25">
        <v>4.92</v>
      </c>
      <c r="E150" s="25">
        <v>5.76</v>
      </c>
      <c r="F150" s="25">
        <v>5.8</v>
      </c>
      <c r="G150" s="31">
        <v>-1.31</v>
      </c>
      <c r="H150" s="32">
        <v>-0.21029999999999999</v>
      </c>
      <c r="I150" s="25">
        <v>81</v>
      </c>
      <c r="J150" s="25">
        <v>389</v>
      </c>
      <c r="K150" s="27">
        <v>0.25819999999999999</v>
      </c>
    </row>
    <row r="151" spans="1:11" s="1" customFormat="1" ht="15" customHeight="1" thickBot="1" x14ac:dyDescent="0.35">
      <c r="A151" s="24" t="s">
        <v>263</v>
      </c>
      <c r="B151" s="25" t="s">
        <v>121</v>
      </c>
      <c r="C151" s="26">
        <v>413</v>
      </c>
      <c r="D151" s="25">
        <v>5.66</v>
      </c>
      <c r="E151" s="25">
        <v>5.94</v>
      </c>
      <c r="F151" s="25">
        <v>5.98</v>
      </c>
      <c r="G151" s="31">
        <v>-2.29</v>
      </c>
      <c r="H151" s="32">
        <v>-0.28810000000000002</v>
      </c>
      <c r="I151" s="25">
        <v>175</v>
      </c>
      <c r="J151" s="25">
        <v>250</v>
      </c>
      <c r="K151" s="27">
        <v>0.25580000000000003</v>
      </c>
    </row>
    <row r="152" spans="1:11" s="1" customFormat="1" ht="15" customHeight="1" thickBot="1" x14ac:dyDescent="0.35">
      <c r="A152" s="24" t="s">
        <v>264</v>
      </c>
      <c r="B152" s="25" t="s">
        <v>84</v>
      </c>
      <c r="C152" s="26">
        <v>414</v>
      </c>
      <c r="D152" s="25">
        <v>6.21</v>
      </c>
      <c r="E152" s="25">
        <v>6.13</v>
      </c>
      <c r="F152" s="25">
        <v>6.17</v>
      </c>
      <c r="G152" s="31">
        <v>-0.67</v>
      </c>
      <c r="H152" s="32">
        <v>-9.74E-2</v>
      </c>
      <c r="I152" s="25">
        <v>162</v>
      </c>
      <c r="J152" s="25">
        <v>213</v>
      </c>
      <c r="K152" s="27">
        <v>0.2535</v>
      </c>
    </row>
    <row r="153" spans="1:11" s="1" customFormat="1" ht="15" customHeight="1" thickBot="1" x14ac:dyDescent="0.35">
      <c r="A153" s="24" t="s">
        <v>265</v>
      </c>
      <c r="B153" s="25" t="s">
        <v>224</v>
      </c>
      <c r="C153" s="26">
        <v>415</v>
      </c>
      <c r="D153" s="25">
        <v>6.33</v>
      </c>
      <c r="E153" s="25">
        <v>6.32</v>
      </c>
      <c r="F153" s="25">
        <v>6.37</v>
      </c>
      <c r="G153" s="31">
        <v>-0.51</v>
      </c>
      <c r="H153" s="32">
        <v>-7.46E-2</v>
      </c>
      <c r="I153" s="25">
        <v>321</v>
      </c>
      <c r="J153" s="28">
        <v>9396</v>
      </c>
      <c r="K153" s="27">
        <v>0.25130000000000002</v>
      </c>
    </row>
    <row r="154" spans="1:11" s="1" customFormat="1" ht="15" customHeight="1" thickBot="1" x14ac:dyDescent="0.35">
      <c r="A154" s="24" t="s">
        <v>266</v>
      </c>
      <c r="B154" s="25" t="s">
        <v>87</v>
      </c>
      <c r="C154" s="26">
        <v>416</v>
      </c>
      <c r="D154" s="25">
        <v>6.46</v>
      </c>
      <c r="E154" s="25">
        <v>6.52</v>
      </c>
      <c r="F154" s="25">
        <v>6.57</v>
      </c>
      <c r="G154" s="31">
        <v>-1.04</v>
      </c>
      <c r="H154" s="32">
        <v>-0.13869999999999999</v>
      </c>
      <c r="I154" s="25">
        <v>180</v>
      </c>
      <c r="J154" s="25">
        <v>109</v>
      </c>
      <c r="K154" s="27">
        <v>0.249</v>
      </c>
    </row>
    <row r="155" spans="1:11" s="1" customFormat="1" ht="15" customHeight="1" thickBot="1" x14ac:dyDescent="0.35">
      <c r="A155" s="24" t="s">
        <v>267</v>
      </c>
      <c r="B155" s="25" t="s">
        <v>96</v>
      </c>
      <c r="C155" s="26">
        <v>417</v>
      </c>
      <c r="D155" s="25">
        <v>6.36</v>
      </c>
      <c r="E155" s="25">
        <v>6.72</v>
      </c>
      <c r="F155" s="25">
        <v>6.77</v>
      </c>
      <c r="G155" s="31">
        <v>-0.62</v>
      </c>
      <c r="H155" s="32">
        <v>-8.8800000000000004E-2</v>
      </c>
      <c r="I155" s="25">
        <v>210</v>
      </c>
      <c r="J155" s="25">
        <v>475</v>
      </c>
      <c r="K155" s="27">
        <v>0.24640000000000001</v>
      </c>
    </row>
    <row r="156" spans="1:11" s="1" customFormat="1" ht="15" customHeight="1" thickBot="1" x14ac:dyDescent="0.35">
      <c r="A156" s="24" t="s">
        <v>268</v>
      </c>
      <c r="B156" s="25" t="s">
        <v>256</v>
      </c>
      <c r="C156" s="26">
        <v>417.5</v>
      </c>
      <c r="D156" s="25">
        <v>5.94</v>
      </c>
      <c r="E156" s="25">
        <v>6.83</v>
      </c>
      <c r="F156" s="25">
        <v>6.87</v>
      </c>
      <c r="G156" s="31">
        <v>-1.89</v>
      </c>
      <c r="H156" s="32">
        <v>-0.2414</v>
      </c>
      <c r="I156" s="25">
        <v>73</v>
      </c>
      <c r="J156" s="25">
        <v>519</v>
      </c>
      <c r="K156" s="27">
        <v>0.24510000000000001</v>
      </c>
    </row>
    <row r="157" spans="1:11" s="1" customFormat="1" ht="15" customHeight="1" thickBot="1" x14ac:dyDescent="0.35">
      <c r="A157" s="24" t="s">
        <v>269</v>
      </c>
      <c r="B157" s="25" t="s">
        <v>270</v>
      </c>
      <c r="C157" s="26">
        <v>418</v>
      </c>
      <c r="D157" s="25">
        <v>6.03</v>
      </c>
      <c r="E157" s="25">
        <v>6.93</v>
      </c>
      <c r="F157" s="25">
        <v>6.98</v>
      </c>
      <c r="G157" s="31">
        <v>-0.79</v>
      </c>
      <c r="H157" s="32">
        <v>-0.1158</v>
      </c>
      <c r="I157" s="25">
        <v>316</v>
      </c>
      <c r="J157" s="25">
        <v>429</v>
      </c>
      <c r="K157" s="27">
        <v>0.24399999999999999</v>
      </c>
    </row>
    <row r="158" spans="1:11" s="1" customFormat="1" ht="15" customHeight="1" thickBot="1" x14ac:dyDescent="0.35">
      <c r="A158" s="24" t="s">
        <v>271</v>
      </c>
      <c r="B158" s="25" t="s">
        <v>84</v>
      </c>
      <c r="C158" s="26">
        <v>419</v>
      </c>
      <c r="D158" s="25">
        <v>7.22</v>
      </c>
      <c r="E158" s="25">
        <v>7.15</v>
      </c>
      <c r="F158" s="25">
        <v>7.2</v>
      </c>
      <c r="G158" s="33">
        <v>0.17</v>
      </c>
      <c r="H158" s="34">
        <v>2.41E-2</v>
      </c>
      <c r="I158" s="25">
        <v>187</v>
      </c>
      <c r="J158" s="25">
        <v>254</v>
      </c>
      <c r="K158" s="27">
        <v>0.24160000000000001</v>
      </c>
    </row>
    <row r="159" spans="1:11" s="1" customFormat="1" ht="15" customHeight="1" thickBot="1" x14ac:dyDescent="0.35">
      <c r="A159" s="24" t="s">
        <v>272</v>
      </c>
      <c r="B159" s="25" t="s">
        <v>224</v>
      </c>
      <c r="C159" s="26">
        <v>420</v>
      </c>
      <c r="D159" s="25">
        <v>7.35</v>
      </c>
      <c r="E159" s="25">
        <v>7.37</v>
      </c>
      <c r="F159" s="25">
        <v>7.42</v>
      </c>
      <c r="G159" s="33">
        <v>0.03</v>
      </c>
      <c r="H159" s="34">
        <v>4.1000000000000003E-3</v>
      </c>
      <c r="I159" s="25">
        <v>408</v>
      </c>
      <c r="J159" s="28">
        <v>2322</v>
      </c>
      <c r="K159" s="27">
        <v>0.23899999999999999</v>
      </c>
    </row>
    <row r="160" spans="1:11" s="1" customFormat="1" ht="15" customHeight="1" thickBot="1" x14ac:dyDescent="0.35">
      <c r="A160" s="24" t="s">
        <v>273</v>
      </c>
      <c r="B160" s="25" t="s">
        <v>114</v>
      </c>
      <c r="C160" s="26">
        <v>421</v>
      </c>
      <c r="D160" s="25">
        <v>7.33</v>
      </c>
      <c r="E160" s="25">
        <v>7.6</v>
      </c>
      <c r="F160" s="25">
        <v>7.65</v>
      </c>
      <c r="G160" s="31">
        <v>-0.23</v>
      </c>
      <c r="H160" s="32">
        <v>-3.04E-2</v>
      </c>
      <c r="I160" s="25">
        <v>254</v>
      </c>
      <c r="J160" s="25">
        <v>216</v>
      </c>
      <c r="K160" s="27">
        <v>0.23649999999999999</v>
      </c>
    </row>
    <row r="161" spans="1:11" s="1" customFormat="1" ht="15" customHeight="1" thickBot="1" x14ac:dyDescent="0.35">
      <c r="A161" s="24" t="s">
        <v>274</v>
      </c>
      <c r="B161" s="25" t="s">
        <v>275</v>
      </c>
      <c r="C161" s="26">
        <v>422</v>
      </c>
      <c r="D161" s="25">
        <v>7.44</v>
      </c>
      <c r="E161" s="25">
        <v>7.84</v>
      </c>
      <c r="F161" s="25">
        <v>7.89</v>
      </c>
      <c r="G161" s="31">
        <v>-0.24</v>
      </c>
      <c r="H161" s="32">
        <v>-3.1199999999999999E-2</v>
      </c>
      <c r="I161" s="25">
        <v>149</v>
      </c>
      <c r="J161" s="25">
        <v>378</v>
      </c>
      <c r="K161" s="27">
        <v>0.23400000000000001</v>
      </c>
    </row>
    <row r="162" spans="1:11" s="1" customFormat="1" ht="15" customHeight="1" thickBot="1" x14ac:dyDescent="0.35">
      <c r="A162" s="24" t="s">
        <v>276</v>
      </c>
      <c r="B162" s="25" t="s">
        <v>270</v>
      </c>
      <c r="C162" s="26">
        <v>422.5</v>
      </c>
      <c r="D162" s="25">
        <v>6.94</v>
      </c>
      <c r="E162" s="25">
        <v>7.96</v>
      </c>
      <c r="F162" s="25">
        <v>8.01</v>
      </c>
      <c r="G162" s="31">
        <v>-3.43</v>
      </c>
      <c r="H162" s="32">
        <v>-0.33079999999999998</v>
      </c>
      <c r="I162" s="25">
        <v>299</v>
      </c>
      <c r="J162" s="28">
        <v>1130</v>
      </c>
      <c r="K162" s="27">
        <v>0.2326</v>
      </c>
    </row>
    <row r="163" spans="1:11" s="1" customFormat="1" ht="15" customHeight="1" thickBot="1" x14ac:dyDescent="0.35">
      <c r="A163" s="24" t="s">
        <v>277</v>
      </c>
      <c r="B163" s="25" t="s">
        <v>278</v>
      </c>
      <c r="C163" s="26">
        <v>423</v>
      </c>
      <c r="D163" s="25">
        <v>7.52</v>
      </c>
      <c r="E163" s="25">
        <v>8.08</v>
      </c>
      <c r="F163" s="25">
        <v>8.1300000000000008</v>
      </c>
      <c r="G163" s="31">
        <v>-0.49</v>
      </c>
      <c r="H163" s="32">
        <v>-6.1199999999999997E-2</v>
      </c>
      <c r="I163" s="25">
        <v>94</v>
      </c>
      <c r="J163" s="25">
        <v>377</v>
      </c>
      <c r="K163" s="27">
        <v>0.23130000000000001</v>
      </c>
    </row>
    <row r="164" spans="1:11" s="1" customFormat="1" ht="15" customHeight="1" thickBot="1" x14ac:dyDescent="0.35">
      <c r="A164" s="24" t="s">
        <v>279</v>
      </c>
      <c r="B164" s="25" t="s">
        <v>275</v>
      </c>
      <c r="C164" s="26">
        <v>424</v>
      </c>
      <c r="D164" s="25">
        <v>7.9</v>
      </c>
      <c r="E164" s="25">
        <v>8.33</v>
      </c>
      <c r="F164" s="25">
        <v>8.3800000000000008</v>
      </c>
      <c r="G164" s="31">
        <v>-0.26</v>
      </c>
      <c r="H164" s="32">
        <v>-3.1899999999999998E-2</v>
      </c>
      <c r="I164" s="25">
        <v>212</v>
      </c>
      <c r="J164" s="25">
        <v>146</v>
      </c>
      <c r="K164" s="27">
        <v>0.2286</v>
      </c>
    </row>
    <row r="165" spans="1:11" s="1" customFormat="1" ht="15" customHeight="1" thickBot="1" x14ac:dyDescent="0.35">
      <c r="A165" s="24" t="s">
        <v>280</v>
      </c>
      <c r="B165" s="25" t="s">
        <v>76</v>
      </c>
      <c r="C165" s="26">
        <v>425</v>
      </c>
      <c r="D165" s="25">
        <v>8.33</v>
      </c>
      <c r="E165" s="25">
        <v>8.59</v>
      </c>
      <c r="F165" s="25">
        <v>8.64</v>
      </c>
      <c r="G165" s="31">
        <v>-0.65</v>
      </c>
      <c r="H165" s="32">
        <v>-7.2400000000000006E-2</v>
      </c>
      <c r="I165" s="25">
        <v>911</v>
      </c>
      <c r="J165" s="28">
        <v>2482</v>
      </c>
      <c r="K165" s="27">
        <v>0.22600000000000001</v>
      </c>
    </row>
    <row r="166" spans="1:11" s="1" customFormat="1" ht="15" customHeight="1" thickBot="1" x14ac:dyDescent="0.35">
      <c r="A166" s="24" t="s">
        <v>281</v>
      </c>
      <c r="B166" s="25" t="s">
        <v>282</v>
      </c>
      <c r="C166" s="26">
        <v>426</v>
      </c>
      <c r="D166" s="25">
        <v>7.94</v>
      </c>
      <c r="E166" s="25">
        <v>8.85</v>
      </c>
      <c r="F166" s="25">
        <v>8.91</v>
      </c>
      <c r="G166" s="31">
        <v>-1.6</v>
      </c>
      <c r="H166" s="32">
        <v>-0.16769999999999999</v>
      </c>
      <c r="I166" s="25">
        <v>25</v>
      </c>
      <c r="J166" s="25">
        <v>502</v>
      </c>
      <c r="K166" s="27">
        <v>0.2233</v>
      </c>
    </row>
    <row r="167" spans="1:11" s="1" customFormat="1" ht="15" customHeight="1" thickBot="1" x14ac:dyDescent="0.35">
      <c r="A167" s="24" t="s">
        <v>283</v>
      </c>
      <c r="B167" s="25" t="s">
        <v>110</v>
      </c>
      <c r="C167" s="26">
        <v>427</v>
      </c>
      <c r="D167" s="25">
        <v>9.26</v>
      </c>
      <c r="E167" s="25">
        <v>9.1300000000000008</v>
      </c>
      <c r="F167" s="25">
        <v>9.18</v>
      </c>
      <c r="G167" s="31">
        <v>-0.73</v>
      </c>
      <c r="H167" s="32">
        <v>-7.3099999999999998E-2</v>
      </c>
      <c r="I167" s="25">
        <v>43</v>
      </c>
      <c r="J167" s="25">
        <v>226</v>
      </c>
      <c r="K167" s="27">
        <v>0.2205</v>
      </c>
    </row>
    <row r="168" spans="1:11" s="1" customFormat="1" ht="15" customHeight="1" thickBot="1" x14ac:dyDescent="0.35">
      <c r="A168" s="24" t="s">
        <v>284</v>
      </c>
      <c r="B168" s="25" t="s">
        <v>285</v>
      </c>
      <c r="C168" s="26">
        <v>427.5</v>
      </c>
      <c r="D168" s="25">
        <v>8.6</v>
      </c>
      <c r="E168" s="25">
        <v>9.27</v>
      </c>
      <c r="F168" s="25">
        <v>9.32</v>
      </c>
      <c r="G168" s="31">
        <v>-0.6</v>
      </c>
      <c r="H168" s="32">
        <v>-6.5199999999999994E-2</v>
      </c>
      <c r="I168" s="25">
        <v>7</v>
      </c>
      <c r="J168" s="25">
        <v>552</v>
      </c>
      <c r="K168" s="27">
        <v>0.21909999999999999</v>
      </c>
    </row>
    <row r="169" spans="1:11" s="1" customFormat="1" ht="15" customHeight="1" thickBot="1" x14ac:dyDescent="0.35">
      <c r="A169" s="24" t="s">
        <v>286</v>
      </c>
      <c r="B169" s="25" t="s">
        <v>110</v>
      </c>
      <c r="C169" s="26">
        <v>428</v>
      </c>
      <c r="D169" s="25">
        <v>9.5299999999999994</v>
      </c>
      <c r="E169" s="25">
        <v>9.41</v>
      </c>
      <c r="F169" s="25">
        <v>9.4700000000000006</v>
      </c>
      <c r="G169" s="31">
        <v>-0.1</v>
      </c>
      <c r="H169" s="32">
        <v>-1.04E-2</v>
      </c>
      <c r="I169" s="25">
        <v>106</v>
      </c>
      <c r="J169" s="25">
        <v>343</v>
      </c>
      <c r="K169" s="27">
        <v>0.21779999999999999</v>
      </c>
    </row>
    <row r="170" spans="1:11" s="1" customFormat="1" ht="15" customHeight="1" thickBot="1" x14ac:dyDescent="0.35">
      <c r="A170" s="24" t="s">
        <v>287</v>
      </c>
      <c r="B170" s="25" t="s">
        <v>288</v>
      </c>
      <c r="C170" s="26">
        <v>429</v>
      </c>
      <c r="D170" s="25">
        <v>9.2100000000000009</v>
      </c>
      <c r="E170" s="25">
        <v>9.6999999999999993</v>
      </c>
      <c r="F170" s="25">
        <v>9.76</v>
      </c>
      <c r="G170" s="31">
        <v>-0.93</v>
      </c>
      <c r="H170" s="32">
        <v>-9.1700000000000004E-2</v>
      </c>
      <c r="I170" s="25">
        <v>55</v>
      </c>
      <c r="J170" s="25">
        <v>115</v>
      </c>
      <c r="K170" s="27">
        <v>0.215</v>
      </c>
    </row>
    <row r="171" spans="1:11" s="1" customFormat="1" ht="15" customHeight="1" thickBot="1" x14ac:dyDescent="0.35">
      <c r="A171" s="24" t="s">
        <v>289</v>
      </c>
      <c r="B171" s="25" t="s">
        <v>224</v>
      </c>
      <c r="C171" s="26">
        <v>430</v>
      </c>
      <c r="D171" s="25">
        <v>10.02</v>
      </c>
      <c r="E171" s="25">
        <v>10</v>
      </c>
      <c r="F171" s="25">
        <v>10.06</v>
      </c>
      <c r="G171" s="31">
        <v>-0.45</v>
      </c>
      <c r="H171" s="32">
        <v>-4.2999999999999997E-2</v>
      </c>
      <c r="I171" s="25">
        <v>656</v>
      </c>
      <c r="J171" s="28">
        <v>1477</v>
      </c>
      <c r="K171" s="27">
        <v>0.21210000000000001</v>
      </c>
    </row>
    <row r="172" spans="1:11" s="1" customFormat="1" ht="15" customHeight="1" thickBot="1" x14ac:dyDescent="0.35">
      <c r="A172" s="24" t="s">
        <v>290</v>
      </c>
      <c r="B172" s="25" t="s">
        <v>291</v>
      </c>
      <c r="C172" s="26">
        <v>431</v>
      </c>
      <c r="D172" s="25">
        <v>9.5</v>
      </c>
      <c r="E172" s="25">
        <v>10.32</v>
      </c>
      <c r="F172" s="25">
        <v>10.37</v>
      </c>
      <c r="G172" s="31">
        <v>-0.52</v>
      </c>
      <c r="H172" s="32">
        <v>-5.1900000000000002E-2</v>
      </c>
      <c r="I172" s="25">
        <v>50</v>
      </c>
      <c r="J172" s="25">
        <v>79</v>
      </c>
      <c r="K172" s="27">
        <v>0.2092</v>
      </c>
    </row>
    <row r="173" spans="1:11" s="1" customFormat="1" ht="15" customHeight="1" thickBot="1" x14ac:dyDescent="0.35">
      <c r="A173" s="24" t="s">
        <v>292</v>
      </c>
      <c r="B173" s="25" t="s">
        <v>127</v>
      </c>
      <c r="C173" s="26">
        <v>432</v>
      </c>
      <c r="D173" s="25">
        <v>9.73</v>
      </c>
      <c r="E173" s="25">
        <v>10.64</v>
      </c>
      <c r="F173" s="25">
        <v>10.7</v>
      </c>
      <c r="G173" s="31">
        <v>-1.8</v>
      </c>
      <c r="H173" s="32">
        <v>-0.15609999999999999</v>
      </c>
      <c r="I173" s="25">
        <v>126</v>
      </c>
      <c r="J173" s="25">
        <v>291</v>
      </c>
      <c r="K173" s="27">
        <v>0.2064</v>
      </c>
    </row>
    <row r="174" spans="1:11" s="1" customFormat="1" ht="15" customHeight="1" thickBot="1" x14ac:dyDescent="0.35">
      <c r="A174" s="24" t="s">
        <v>293</v>
      </c>
      <c r="B174" s="25" t="s">
        <v>294</v>
      </c>
      <c r="C174" s="26">
        <v>432.5</v>
      </c>
      <c r="D174" s="25">
        <v>9.5</v>
      </c>
      <c r="E174" s="25">
        <v>10.8</v>
      </c>
      <c r="F174" s="25">
        <v>10.86</v>
      </c>
      <c r="G174" s="31">
        <v>-1.42</v>
      </c>
      <c r="H174" s="32">
        <v>-0.13</v>
      </c>
      <c r="I174" s="25">
        <v>36</v>
      </c>
      <c r="J174" s="28">
        <v>1007</v>
      </c>
      <c r="K174" s="27">
        <v>0.2049</v>
      </c>
    </row>
    <row r="175" spans="1:11" s="1" customFormat="1" ht="15" customHeight="1" thickBot="1" x14ac:dyDescent="0.35">
      <c r="A175" s="24" t="s">
        <v>295</v>
      </c>
      <c r="B175" s="25" t="s">
        <v>76</v>
      </c>
      <c r="C175" s="26">
        <v>433</v>
      </c>
      <c r="D175" s="25">
        <v>10.57</v>
      </c>
      <c r="E175" s="25">
        <v>10.97</v>
      </c>
      <c r="F175" s="25">
        <v>11.03</v>
      </c>
      <c r="G175" s="31">
        <v>-0.76</v>
      </c>
      <c r="H175" s="32">
        <v>-6.7100000000000007E-2</v>
      </c>
      <c r="I175" s="25">
        <v>112</v>
      </c>
      <c r="J175" s="25">
        <v>71</v>
      </c>
      <c r="K175" s="27">
        <v>0.2034</v>
      </c>
    </row>
    <row r="176" spans="1:11" s="1" customFormat="1" ht="15" customHeight="1" thickBot="1" x14ac:dyDescent="0.35">
      <c r="A176" s="20" t="s">
        <v>296</v>
      </c>
      <c r="B176" s="21" t="s">
        <v>68</v>
      </c>
      <c r="C176" s="22">
        <v>434</v>
      </c>
      <c r="D176" s="21">
        <v>11.26</v>
      </c>
      <c r="E176" s="21">
        <v>11.32</v>
      </c>
      <c r="F176" s="21">
        <v>11.38</v>
      </c>
      <c r="G176" s="35">
        <v>0.36</v>
      </c>
      <c r="H176" s="36">
        <v>3.3000000000000002E-2</v>
      </c>
      <c r="I176" s="37">
        <v>1151</v>
      </c>
      <c r="J176" s="37">
        <v>1210</v>
      </c>
      <c r="K176" s="23">
        <v>0.20050000000000001</v>
      </c>
    </row>
    <row r="177" spans="1:11" s="1" customFormat="1" ht="15" customHeight="1" thickBot="1" x14ac:dyDescent="0.35">
      <c r="A177" s="20" t="s">
        <v>297</v>
      </c>
      <c r="B177" s="21" t="s">
        <v>84</v>
      </c>
      <c r="C177" s="22">
        <v>435</v>
      </c>
      <c r="D177" s="21">
        <v>11.84</v>
      </c>
      <c r="E177" s="21">
        <v>11.68</v>
      </c>
      <c r="F177" s="21">
        <v>11.74</v>
      </c>
      <c r="G177" s="29">
        <v>-0.3</v>
      </c>
      <c r="H177" s="30">
        <v>-2.47E-2</v>
      </c>
      <c r="I177" s="37">
        <v>1009</v>
      </c>
      <c r="J177" s="37">
        <v>1050</v>
      </c>
      <c r="K177" s="23">
        <v>0.1976</v>
      </c>
    </row>
    <row r="178" spans="1:11" s="1" customFormat="1" ht="15" customHeight="1" thickBot="1" x14ac:dyDescent="0.35">
      <c r="A178" s="20" t="s">
        <v>298</v>
      </c>
      <c r="B178" s="21" t="s">
        <v>124</v>
      </c>
      <c r="C178" s="22">
        <v>436</v>
      </c>
      <c r="D178" s="21">
        <v>11.55</v>
      </c>
      <c r="E178" s="21">
        <v>12.05</v>
      </c>
      <c r="F178" s="21">
        <v>12.11</v>
      </c>
      <c r="G178" s="29">
        <v>-0.43</v>
      </c>
      <c r="H178" s="30">
        <v>-3.5900000000000001E-2</v>
      </c>
      <c r="I178" s="21">
        <v>278</v>
      </c>
      <c r="J178" s="21">
        <v>199</v>
      </c>
      <c r="K178" s="23">
        <v>0.19450000000000001</v>
      </c>
    </row>
    <row r="179" spans="1:11" s="1" customFormat="1" ht="15" customHeight="1" thickBot="1" x14ac:dyDescent="0.35">
      <c r="A179" s="20" t="s">
        <v>299</v>
      </c>
      <c r="B179" s="21" t="s">
        <v>78</v>
      </c>
      <c r="C179" s="22">
        <v>437</v>
      </c>
      <c r="D179" s="21">
        <v>11.64</v>
      </c>
      <c r="E179" s="21">
        <v>12.44</v>
      </c>
      <c r="F179" s="21">
        <v>12.5</v>
      </c>
      <c r="G179" s="29">
        <v>-3.5</v>
      </c>
      <c r="H179" s="30">
        <v>-0.23119999999999999</v>
      </c>
      <c r="I179" s="21">
        <v>243</v>
      </c>
      <c r="J179" s="21">
        <v>143</v>
      </c>
      <c r="K179" s="23">
        <v>0.19159999999999999</v>
      </c>
    </row>
    <row r="180" spans="1:11" s="1" customFormat="1" ht="15" customHeight="1" thickBot="1" x14ac:dyDescent="0.35">
      <c r="A180" s="20" t="s">
        <v>300</v>
      </c>
      <c r="B180" s="21" t="s">
        <v>78</v>
      </c>
      <c r="C180" s="22">
        <v>437.5</v>
      </c>
      <c r="D180" s="21">
        <v>11.85</v>
      </c>
      <c r="E180" s="21">
        <v>12.54</v>
      </c>
      <c r="F180" s="21">
        <v>12.74</v>
      </c>
      <c r="G180" s="29">
        <v>-1.86</v>
      </c>
      <c r="H180" s="30">
        <v>-0.13569999999999999</v>
      </c>
      <c r="I180" s="21">
        <v>119</v>
      </c>
      <c r="J180" s="21">
        <v>301</v>
      </c>
      <c r="K180" s="23">
        <v>0.1908</v>
      </c>
    </row>
    <row r="181" spans="1:11" s="1" customFormat="1" ht="15" customHeight="1" thickBot="1" x14ac:dyDescent="0.35">
      <c r="A181" s="20" t="s">
        <v>301</v>
      </c>
      <c r="B181" s="21" t="s">
        <v>302</v>
      </c>
      <c r="C181" s="22">
        <v>438</v>
      </c>
      <c r="D181" s="21">
        <v>11.13</v>
      </c>
      <c r="E181" s="21">
        <v>12.74</v>
      </c>
      <c r="F181" s="21">
        <v>12.95</v>
      </c>
      <c r="G181" s="29">
        <v>-2.76</v>
      </c>
      <c r="H181" s="30">
        <v>-0.19869999999999999</v>
      </c>
      <c r="I181" s="21">
        <v>115</v>
      </c>
      <c r="J181" s="21">
        <v>131</v>
      </c>
      <c r="K181" s="23">
        <v>0.18940000000000001</v>
      </c>
    </row>
    <row r="182" spans="1:11" s="1" customFormat="1" ht="15" customHeight="1" thickBot="1" x14ac:dyDescent="0.35">
      <c r="A182" s="20" t="s">
        <v>303</v>
      </c>
      <c r="B182" s="21" t="s">
        <v>304</v>
      </c>
      <c r="C182" s="22">
        <v>439</v>
      </c>
      <c r="D182" s="21">
        <v>11.85</v>
      </c>
      <c r="E182" s="21">
        <v>13.15</v>
      </c>
      <c r="F182" s="21">
        <v>13.37</v>
      </c>
      <c r="G182" s="29">
        <v>-2.04</v>
      </c>
      <c r="H182" s="30">
        <v>-0.1469</v>
      </c>
      <c r="I182" s="21">
        <v>81</v>
      </c>
      <c r="J182" s="21">
        <v>154</v>
      </c>
      <c r="K182" s="23">
        <v>0.18640000000000001</v>
      </c>
    </row>
    <row r="183" spans="1:11" s="1" customFormat="1" ht="15" customHeight="1" thickBot="1" x14ac:dyDescent="0.35">
      <c r="A183" s="20" t="s">
        <v>305</v>
      </c>
      <c r="B183" s="21" t="s">
        <v>110</v>
      </c>
      <c r="C183" s="22">
        <v>440</v>
      </c>
      <c r="D183" s="21">
        <v>13.86</v>
      </c>
      <c r="E183" s="21">
        <v>13.59</v>
      </c>
      <c r="F183" s="21">
        <v>13.82</v>
      </c>
      <c r="G183" s="29">
        <v>-0.21</v>
      </c>
      <c r="H183" s="30">
        <v>-1.49E-2</v>
      </c>
      <c r="I183" s="21">
        <v>559</v>
      </c>
      <c r="J183" s="37">
        <v>1593</v>
      </c>
      <c r="K183" s="23">
        <v>0.1837</v>
      </c>
    </row>
    <row r="184" spans="1:11" s="1" customFormat="1" ht="15" customHeight="1" thickBot="1" x14ac:dyDescent="0.35">
      <c r="A184" s="20" t="s">
        <v>306</v>
      </c>
      <c r="B184" s="21" t="s">
        <v>110</v>
      </c>
      <c r="C184" s="22">
        <v>441</v>
      </c>
      <c r="D184" s="21">
        <v>14.31</v>
      </c>
      <c r="E184" s="21">
        <v>14.04</v>
      </c>
      <c r="F184" s="21">
        <v>14.28</v>
      </c>
      <c r="G184" s="35">
        <v>0.6</v>
      </c>
      <c r="H184" s="36">
        <v>4.3799999999999999E-2</v>
      </c>
      <c r="I184" s="21">
        <v>282</v>
      </c>
      <c r="J184" s="21">
        <v>245</v>
      </c>
      <c r="K184" s="23">
        <v>0.18079999999999999</v>
      </c>
    </row>
    <row r="185" spans="1:11" s="1" customFormat="1" ht="15" customHeight="1" thickBot="1" x14ac:dyDescent="0.35">
      <c r="A185" s="20" t="s">
        <v>307</v>
      </c>
      <c r="B185" s="21" t="s">
        <v>253</v>
      </c>
      <c r="C185" s="22">
        <v>442</v>
      </c>
      <c r="D185" s="21">
        <v>12.95</v>
      </c>
      <c r="E185" s="21">
        <v>14.52</v>
      </c>
      <c r="F185" s="21">
        <v>14.76</v>
      </c>
      <c r="G185" s="29">
        <v>-1.03</v>
      </c>
      <c r="H185" s="30">
        <v>-7.3700000000000002E-2</v>
      </c>
      <c r="I185" s="21">
        <v>69</v>
      </c>
      <c r="J185" s="21">
        <v>563</v>
      </c>
      <c r="K185" s="23">
        <v>0.17799999999999999</v>
      </c>
    </row>
    <row r="186" spans="1:11" s="1" customFormat="1" ht="15" customHeight="1" thickBot="1" x14ac:dyDescent="0.35">
      <c r="A186" s="20" t="s">
        <v>308</v>
      </c>
      <c r="B186" s="21" t="s">
        <v>239</v>
      </c>
      <c r="C186" s="22">
        <v>442.5</v>
      </c>
      <c r="D186" s="21">
        <v>14.26</v>
      </c>
      <c r="E186" s="21">
        <v>14.72</v>
      </c>
      <c r="F186" s="21">
        <v>15.06</v>
      </c>
      <c r="G186" s="29">
        <v>-3.38</v>
      </c>
      <c r="H186" s="30">
        <v>-0.19159999999999999</v>
      </c>
      <c r="I186" s="21">
        <v>8</v>
      </c>
      <c r="J186" s="21">
        <v>367</v>
      </c>
      <c r="K186" s="23">
        <v>0.17749999999999999</v>
      </c>
    </row>
    <row r="187" spans="1:11" s="1" customFormat="1" ht="15" customHeight="1" thickBot="1" x14ac:dyDescent="0.35">
      <c r="A187" s="20" t="s">
        <v>309</v>
      </c>
      <c r="B187" s="21" t="s">
        <v>310</v>
      </c>
      <c r="C187" s="22">
        <v>443</v>
      </c>
      <c r="D187" s="21">
        <v>12.85</v>
      </c>
      <c r="E187" s="21">
        <v>14.97</v>
      </c>
      <c r="F187" s="21">
        <v>15.32</v>
      </c>
      <c r="G187" s="29">
        <v>-2.2200000000000002</v>
      </c>
      <c r="H187" s="30">
        <v>-0.14729999999999999</v>
      </c>
      <c r="I187" s="21">
        <v>13</v>
      </c>
      <c r="J187" s="21">
        <v>211</v>
      </c>
      <c r="K187" s="23">
        <v>0.17630000000000001</v>
      </c>
    </row>
    <row r="188" spans="1:11" s="1" customFormat="1" ht="15" customHeight="1" thickBot="1" x14ac:dyDescent="0.35">
      <c r="A188" s="20" t="s">
        <v>311</v>
      </c>
      <c r="B188" s="21" t="s">
        <v>110</v>
      </c>
      <c r="C188" s="22">
        <v>444</v>
      </c>
      <c r="D188" s="21">
        <v>15.72</v>
      </c>
      <c r="E188" s="21">
        <v>15.49</v>
      </c>
      <c r="F188" s="21">
        <v>15.85</v>
      </c>
      <c r="G188" s="29">
        <v>-1.75</v>
      </c>
      <c r="H188" s="30">
        <v>-0.1002</v>
      </c>
      <c r="I188" s="21">
        <v>31</v>
      </c>
      <c r="J188" s="21">
        <v>382</v>
      </c>
      <c r="K188" s="23">
        <v>0.17369999999999999</v>
      </c>
    </row>
    <row r="189" spans="1:11" s="1" customFormat="1" ht="15" customHeight="1" thickBot="1" x14ac:dyDescent="0.35">
      <c r="A189" s="20" t="s">
        <v>312</v>
      </c>
      <c r="B189" s="21" t="s">
        <v>110</v>
      </c>
      <c r="C189" s="22">
        <v>445</v>
      </c>
      <c r="D189" s="21">
        <v>16.260000000000002</v>
      </c>
      <c r="E189" s="21">
        <v>16.04</v>
      </c>
      <c r="F189" s="21">
        <v>16.399999999999999</v>
      </c>
      <c r="G189" s="35">
        <v>0.82</v>
      </c>
      <c r="H189" s="36">
        <v>5.3100000000000001E-2</v>
      </c>
      <c r="I189" s="21">
        <v>185</v>
      </c>
      <c r="J189" s="37">
        <v>1269</v>
      </c>
      <c r="K189" s="23">
        <v>0.1711</v>
      </c>
    </row>
    <row r="190" spans="1:11" s="1" customFormat="1" ht="15" customHeight="1" thickBot="1" x14ac:dyDescent="0.35">
      <c r="A190" s="20" t="s">
        <v>313</v>
      </c>
      <c r="B190" s="21" t="s">
        <v>199</v>
      </c>
      <c r="C190" s="22">
        <v>446</v>
      </c>
      <c r="D190" s="21">
        <v>14.22</v>
      </c>
      <c r="E190" s="21">
        <v>16.600000000000001</v>
      </c>
      <c r="F190" s="21">
        <v>17.02</v>
      </c>
      <c r="G190" s="29">
        <v>-3.92</v>
      </c>
      <c r="H190" s="30">
        <v>-0.21609999999999999</v>
      </c>
      <c r="I190" s="21">
        <v>166</v>
      </c>
      <c r="J190" s="21">
        <v>704</v>
      </c>
      <c r="K190" s="23">
        <v>0.16950000000000001</v>
      </c>
    </row>
    <row r="191" spans="1:11" s="1" customFormat="1" ht="15" customHeight="1" thickBot="1" x14ac:dyDescent="0.35">
      <c r="A191" s="20" t="s">
        <v>314</v>
      </c>
      <c r="B191" s="21" t="s">
        <v>47</v>
      </c>
      <c r="C191" s="22">
        <v>447</v>
      </c>
      <c r="D191" s="21">
        <v>15.5</v>
      </c>
      <c r="E191" s="21">
        <v>17.2</v>
      </c>
      <c r="F191" s="21">
        <v>17.63</v>
      </c>
      <c r="G191" s="29">
        <v>-3.21</v>
      </c>
      <c r="H191" s="30">
        <v>-0.1716</v>
      </c>
      <c r="I191" s="21">
        <v>3</v>
      </c>
      <c r="J191" s="21">
        <v>366</v>
      </c>
      <c r="K191" s="23">
        <v>0.16739999999999999</v>
      </c>
    </row>
    <row r="192" spans="1:11" s="1" customFormat="1" ht="15" customHeight="1" thickBot="1" x14ac:dyDescent="0.35">
      <c r="A192" s="20" t="s">
        <v>315</v>
      </c>
      <c r="B192" s="21" t="s">
        <v>316</v>
      </c>
      <c r="C192" s="22">
        <v>447.5</v>
      </c>
      <c r="D192" s="21">
        <v>17.71</v>
      </c>
      <c r="E192" s="21">
        <v>17.510000000000002</v>
      </c>
      <c r="F192" s="21">
        <v>17.940000000000001</v>
      </c>
      <c r="G192" s="29">
        <v>-0.34</v>
      </c>
      <c r="H192" s="30">
        <v>-1.8800000000000001E-2</v>
      </c>
      <c r="I192" s="21">
        <v>6</v>
      </c>
      <c r="J192" s="21">
        <v>463</v>
      </c>
      <c r="K192" s="23">
        <v>0.1663</v>
      </c>
    </row>
    <row r="193" spans="1:11" s="1" customFormat="1" ht="15" customHeight="1" thickBot="1" x14ac:dyDescent="0.35">
      <c r="A193" s="20" t="s">
        <v>317</v>
      </c>
      <c r="B193" s="21" t="s">
        <v>318</v>
      </c>
      <c r="C193" s="22">
        <v>448</v>
      </c>
      <c r="D193" s="21">
        <v>15.48</v>
      </c>
      <c r="E193" s="21">
        <v>17.829999999999998</v>
      </c>
      <c r="F193" s="21">
        <v>18.260000000000002</v>
      </c>
      <c r="G193" s="29">
        <v>-4.62</v>
      </c>
      <c r="H193" s="30">
        <v>-0.22989999999999999</v>
      </c>
      <c r="I193" s="21">
        <v>203</v>
      </c>
      <c r="J193" s="37">
        <v>1262</v>
      </c>
      <c r="K193" s="23">
        <v>0.1653</v>
      </c>
    </row>
    <row r="194" spans="1:11" s="1" customFormat="1" ht="15" customHeight="1" thickBot="1" x14ac:dyDescent="0.35">
      <c r="A194" s="20" t="s">
        <v>319</v>
      </c>
      <c r="B194" s="21" t="s">
        <v>116</v>
      </c>
      <c r="C194" s="22">
        <v>449</v>
      </c>
      <c r="D194" s="21">
        <v>16.84</v>
      </c>
      <c r="E194" s="21">
        <v>18.489999999999998</v>
      </c>
      <c r="F194" s="21">
        <v>18.920000000000002</v>
      </c>
      <c r="G194" s="29">
        <v>-1.9</v>
      </c>
      <c r="H194" s="30">
        <v>-0.1014</v>
      </c>
      <c r="I194" s="21">
        <v>12</v>
      </c>
      <c r="J194" s="21">
        <v>7</v>
      </c>
      <c r="K194" s="23">
        <v>0.16350000000000001</v>
      </c>
    </row>
    <row r="195" spans="1:11" s="1" customFormat="1" ht="15" customHeight="1" thickBot="1" x14ac:dyDescent="0.35">
      <c r="A195" s="20" t="s">
        <v>320</v>
      </c>
      <c r="B195" s="21" t="s">
        <v>116</v>
      </c>
      <c r="C195" s="22">
        <v>450</v>
      </c>
      <c r="D195" s="21">
        <v>17.440000000000001</v>
      </c>
      <c r="E195" s="21">
        <v>19.18</v>
      </c>
      <c r="F195" s="21">
        <v>19.61</v>
      </c>
      <c r="G195" s="29">
        <v>-1.1599999999999999</v>
      </c>
      <c r="H195" s="30">
        <v>-6.2399999999999997E-2</v>
      </c>
      <c r="I195" s="21">
        <v>25</v>
      </c>
      <c r="J195" s="21">
        <v>237</v>
      </c>
      <c r="K195" s="23">
        <v>0.16189999999999999</v>
      </c>
    </row>
    <row r="196" spans="1:11" s="1" customFormat="1" ht="15" customHeight="1" thickBot="1" x14ac:dyDescent="0.35">
      <c r="A196" s="20" t="s">
        <v>321</v>
      </c>
      <c r="B196" s="21" t="s">
        <v>322</v>
      </c>
      <c r="C196" s="22">
        <v>451</v>
      </c>
      <c r="D196" s="21">
        <v>18.68</v>
      </c>
      <c r="E196" s="21">
        <v>19.89</v>
      </c>
      <c r="F196" s="21">
        <v>20.32</v>
      </c>
      <c r="G196" s="21">
        <v>0</v>
      </c>
      <c r="H196" s="21" t="s">
        <v>11</v>
      </c>
      <c r="I196" s="21">
        <v>1</v>
      </c>
      <c r="J196" s="21">
        <v>2</v>
      </c>
      <c r="K196" s="23">
        <v>0.1603</v>
      </c>
    </row>
    <row r="197" spans="1:11" s="1" customFormat="1" ht="15" customHeight="1" thickBot="1" x14ac:dyDescent="0.35">
      <c r="A197" s="20" t="s">
        <v>323</v>
      </c>
      <c r="B197" s="21" t="s">
        <v>324</v>
      </c>
      <c r="C197" s="22">
        <v>452</v>
      </c>
      <c r="D197" s="21">
        <v>20.68</v>
      </c>
      <c r="E197" s="21">
        <v>20.63</v>
      </c>
      <c r="F197" s="21">
        <v>21.06</v>
      </c>
      <c r="G197" s="35">
        <v>0.2</v>
      </c>
      <c r="H197" s="36">
        <v>9.7999999999999997E-3</v>
      </c>
      <c r="I197" s="21">
        <v>210</v>
      </c>
      <c r="J197" s="21">
        <v>264</v>
      </c>
      <c r="K197" s="23">
        <v>0.15909999999999999</v>
      </c>
    </row>
    <row r="198" spans="1:11" s="1" customFormat="1" ht="15" customHeight="1" thickBot="1" x14ac:dyDescent="0.35">
      <c r="A198" s="20" t="s">
        <v>325</v>
      </c>
      <c r="B198" s="21" t="s">
        <v>326</v>
      </c>
      <c r="C198" s="22">
        <v>452.5</v>
      </c>
      <c r="D198" s="21">
        <v>13.64</v>
      </c>
      <c r="E198" s="21">
        <v>21.01</v>
      </c>
      <c r="F198" s="21">
        <v>21.44</v>
      </c>
      <c r="G198" s="21">
        <v>0</v>
      </c>
      <c r="H198" s="21" t="s">
        <v>11</v>
      </c>
      <c r="I198" s="21">
        <v>30</v>
      </c>
      <c r="J198" s="21">
        <v>19</v>
      </c>
      <c r="K198" s="23">
        <v>0.15859999999999999</v>
      </c>
    </row>
    <row r="199" spans="1:11" s="1" customFormat="1" ht="15" customHeight="1" thickBot="1" x14ac:dyDescent="0.35">
      <c r="A199" s="20" t="s">
        <v>327</v>
      </c>
      <c r="B199" s="21" t="s">
        <v>328</v>
      </c>
      <c r="C199" s="22">
        <v>453</v>
      </c>
      <c r="D199" s="21">
        <v>20.98</v>
      </c>
      <c r="E199" s="21">
        <v>21.39</v>
      </c>
      <c r="F199" s="21">
        <v>21.83</v>
      </c>
      <c r="G199" s="21">
        <v>0</v>
      </c>
      <c r="H199" s="21" t="s">
        <v>11</v>
      </c>
      <c r="I199" s="21">
        <v>2</v>
      </c>
      <c r="J199" s="21">
        <v>5</v>
      </c>
      <c r="K199" s="23">
        <v>0.1583</v>
      </c>
    </row>
    <row r="200" spans="1:11" s="1" customFormat="1" ht="15" customHeight="1" thickBot="1" x14ac:dyDescent="0.35">
      <c r="A200" s="20" t="s">
        <v>329</v>
      </c>
      <c r="B200" s="21" t="s">
        <v>330</v>
      </c>
      <c r="C200" s="22">
        <v>454</v>
      </c>
      <c r="D200" s="21">
        <v>18.82</v>
      </c>
      <c r="E200" s="21">
        <v>22.18</v>
      </c>
      <c r="F200" s="21">
        <v>22.62</v>
      </c>
      <c r="G200" s="29">
        <v>-0.64</v>
      </c>
      <c r="H200" s="30">
        <v>-3.2899999999999999E-2</v>
      </c>
      <c r="I200" s="21">
        <v>1</v>
      </c>
      <c r="J200" s="21">
        <v>57</v>
      </c>
      <c r="K200" s="23">
        <v>0.15759999999999999</v>
      </c>
    </row>
    <row r="201" spans="1:11" s="1" customFormat="1" ht="15" customHeight="1" thickBot="1" x14ac:dyDescent="0.35">
      <c r="A201" s="20" t="s">
        <v>331</v>
      </c>
      <c r="B201" s="21" t="s">
        <v>332</v>
      </c>
      <c r="C201" s="22">
        <v>455</v>
      </c>
      <c r="D201" s="21">
        <v>22.6</v>
      </c>
      <c r="E201" s="21">
        <v>22.99</v>
      </c>
      <c r="F201" s="21">
        <v>23.43</v>
      </c>
      <c r="G201" s="35">
        <v>0.27</v>
      </c>
      <c r="H201" s="36">
        <v>1.21E-2</v>
      </c>
      <c r="I201" s="21">
        <v>3</v>
      </c>
      <c r="J201" s="21">
        <v>213</v>
      </c>
      <c r="K201" s="23">
        <v>0.15709999999999999</v>
      </c>
    </row>
    <row r="202" spans="1:11" s="1" customFormat="1" ht="15" customHeight="1" thickBot="1" x14ac:dyDescent="0.35">
      <c r="A202" s="20" t="s">
        <v>333</v>
      </c>
      <c r="B202" s="21" t="s">
        <v>334</v>
      </c>
      <c r="C202" s="22">
        <v>456</v>
      </c>
      <c r="D202" s="21">
        <v>19.73</v>
      </c>
      <c r="E202" s="21">
        <v>23.83</v>
      </c>
      <c r="F202" s="21">
        <v>24.26</v>
      </c>
      <c r="G202" s="29">
        <v>-5.17</v>
      </c>
      <c r="H202" s="30">
        <v>-0.20760000000000001</v>
      </c>
      <c r="I202" s="21">
        <v>26</v>
      </c>
      <c r="J202" s="21">
        <v>82</v>
      </c>
      <c r="K202" s="23">
        <v>0.15679999999999999</v>
      </c>
    </row>
    <row r="203" spans="1:11" s="1" customFormat="1" ht="15" customHeight="1" thickBot="1" x14ac:dyDescent="0.35">
      <c r="A203" s="20" t="s">
        <v>335</v>
      </c>
      <c r="B203" s="21" t="s">
        <v>336</v>
      </c>
      <c r="C203" s="22">
        <v>457</v>
      </c>
      <c r="D203" s="21">
        <v>16.22</v>
      </c>
      <c r="E203" s="21">
        <v>24.69</v>
      </c>
      <c r="F203" s="21">
        <v>25.12</v>
      </c>
      <c r="G203" s="21">
        <v>0</v>
      </c>
      <c r="H203" s="21" t="s">
        <v>11</v>
      </c>
      <c r="I203" s="21" t="s">
        <v>11</v>
      </c>
      <c r="J203" s="21">
        <v>1</v>
      </c>
      <c r="K203" s="23">
        <v>0.15709999999999999</v>
      </c>
    </row>
    <row r="204" spans="1:11" s="1" customFormat="1" ht="15" customHeight="1" thickBot="1" x14ac:dyDescent="0.35">
      <c r="A204" s="20" t="s">
        <v>337</v>
      </c>
      <c r="B204" s="21" t="s">
        <v>338</v>
      </c>
      <c r="C204" s="22">
        <v>457.5</v>
      </c>
      <c r="D204" s="21">
        <v>16.510000000000002</v>
      </c>
      <c r="E204" s="21">
        <v>25.12</v>
      </c>
      <c r="F204" s="21">
        <v>25.55</v>
      </c>
      <c r="G204" s="21">
        <v>0</v>
      </c>
      <c r="H204" s="21" t="s">
        <v>11</v>
      </c>
      <c r="I204" s="21">
        <v>7</v>
      </c>
      <c r="J204" s="21">
        <v>47</v>
      </c>
      <c r="K204" s="23">
        <v>0.15709999999999999</v>
      </c>
    </row>
    <row r="205" spans="1:11" s="1" customFormat="1" ht="15" customHeight="1" thickBot="1" x14ac:dyDescent="0.35">
      <c r="A205" s="20" t="s">
        <v>339</v>
      </c>
      <c r="B205" s="21" t="s">
        <v>336</v>
      </c>
      <c r="C205" s="22">
        <v>458</v>
      </c>
      <c r="D205" s="21">
        <v>16.57</v>
      </c>
      <c r="E205" s="21">
        <v>25.56</v>
      </c>
      <c r="F205" s="21">
        <v>25.99</v>
      </c>
      <c r="G205" s="21">
        <v>0</v>
      </c>
      <c r="H205" s="21" t="s">
        <v>11</v>
      </c>
      <c r="I205" s="21" t="s">
        <v>11</v>
      </c>
      <c r="J205" s="21">
        <v>16</v>
      </c>
      <c r="K205" s="23">
        <v>0.15740000000000001</v>
      </c>
    </row>
    <row r="206" spans="1:11" s="1" customFormat="1" ht="15" customHeight="1" thickBot="1" x14ac:dyDescent="0.35">
      <c r="A206" s="20" t="s">
        <v>340</v>
      </c>
      <c r="B206" s="21" t="s">
        <v>336</v>
      </c>
      <c r="C206" s="22">
        <v>459</v>
      </c>
      <c r="D206" s="21">
        <v>18.53</v>
      </c>
      <c r="E206" s="21">
        <v>26.46</v>
      </c>
      <c r="F206" s="21">
        <v>26.89</v>
      </c>
      <c r="G206" s="21">
        <v>0</v>
      </c>
      <c r="H206" s="21" t="s">
        <v>11</v>
      </c>
      <c r="I206" s="21" t="s">
        <v>11</v>
      </c>
      <c r="J206" s="21">
        <v>15</v>
      </c>
      <c r="K206" s="23">
        <v>0.1583</v>
      </c>
    </row>
    <row r="207" spans="1:11" s="1" customFormat="1" ht="15" customHeight="1" thickBot="1" x14ac:dyDescent="0.35">
      <c r="A207" s="20" t="s">
        <v>341</v>
      </c>
      <c r="B207" s="21" t="s">
        <v>324</v>
      </c>
      <c r="C207" s="22">
        <v>460</v>
      </c>
      <c r="D207" s="21">
        <v>26.93</v>
      </c>
      <c r="E207" s="21">
        <v>27.25</v>
      </c>
      <c r="F207" s="21">
        <v>27.88</v>
      </c>
      <c r="G207" s="29">
        <v>-0.17</v>
      </c>
      <c r="H207" s="30">
        <v>-6.3E-3</v>
      </c>
      <c r="I207" s="21">
        <v>5</v>
      </c>
      <c r="J207" s="21">
        <v>72</v>
      </c>
      <c r="K207" s="23">
        <v>0.16209999999999999</v>
      </c>
    </row>
    <row r="208" spans="1:11" s="1" customFormat="1" ht="15" customHeight="1" thickBot="1" x14ac:dyDescent="0.35">
      <c r="A208" s="20" t="s">
        <v>342</v>
      </c>
      <c r="B208" s="21" t="s">
        <v>343</v>
      </c>
      <c r="C208" s="22">
        <v>462</v>
      </c>
      <c r="D208" s="21">
        <v>26.29</v>
      </c>
      <c r="E208" s="21">
        <v>29.1</v>
      </c>
      <c r="F208" s="21">
        <v>29.74</v>
      </c>
      <c r="G208" s="21">
        <v>0</v>
      </c>
      <c r="H208" s="21" t="s">
        <v>11</v>
      </c>
      <c r="I208" s="21">
        <v>5</v>
      </c>
      <c r="J208" s="21">
        <v>6</v>
      </c>
      <c r="K208" s="23">
        <v>0.16539999999999999</v>
      </c>
    </row>
    <row r="209" spans="1:11" s="1" customFormat="1" ht="15" customHeight="1" thickBot="1" x14ac:dyDescent="0.35">
      <c r="A209" s="20" t="s">
        <v>344</v>
      </c>
      <c r="B209" s="21" t="s">
        <v>336</v>
      </c>
      <c r="C209" s="22">
        <v>462.5</v>
      </c>
      <c r="D209" s="21">
        <v>18.350000000000001</v>
      </c>
      <c r="E209" s="21">
        <v>29.57</v>
      </c>
      <c r="F209" s="21">
        <v>30.21</v>
      </c>
      <c r="G209" s="21">
        <v>0</v>
      </c>
      <c r="H209" s="21" t="s">
        <v>11</v>
      </c>
      <c r="I209" s="21" t="s">
        <v>11</v>
      </c>
      <c r="J209" s="21">
        <v>5</v>
      </c>
      <c r="K209" s="23">
        <v>0.1663</v>
      </c>
    </row>
    <row r="210" spans="1:11" s="1" customFormat="1" ht="15" customHeight="1" thickBot="1" x14ac:dyDescent="0.35">
      <c r="A210" s="20" t="s">
        <v>345</v>
      </c>
      <c r="B210" s="21" t="s">
        <v>346</v>
      </c>
      <c r="C210" s="22">
        <v>464</v>
      </c>
      <c r="D210" s="21">
        <v>18.34</v>
      </c>
      <c r="E210" s="21">
        <v>30.99</v>
      </c>
      <c r="F210" s="21">
        <v>31.67</v>
      </c>
      <c r="G210" s="21">
        <v>0</v>
      </c>
      <c r="H210" s="21" t="s">
        <v>11</v>
      </c>
      <c r="I210" s="21" t="s">
        <v>11</v>
      </c>
      <c r="J210" s="21">
        <v>6</v>
      </c>
      <c r="K210" s="23">
        <v>0.17069999999999999</v>
      </c>
    </row>
    <row r="211" spans="1:11" s="1" customFormat="1" ht="15" customHeight="1" thickBot="1" x14ac:dyDescent="0.35">
      <c r="A211" s="20" t="s">
        <v>347</v>
      </c>
      <c r="B211" s="21" t="s">
        <v>348</v>
      </c>
      <c r="C211" s="22">
        <v>465</v>
      </c>
      <c r="D211" s="21">
        <v>30.77</v>
      </c>
      <c r="E211" s="21">
        <v>31.94</v>
      </c>
      <c r="F211" s="21">
        <v>32.630000000000003</v>
      </c>
      <c r="G211" s="29">
        <v>-1.74</v>
      </c>
      <c r="H211" s="30">
        <v>-5.3499999999999999E-2</v>
      </c>
      <c r="I211" s="21">
        <v>12</v>
      </c>
      <c r="J211" s="21">
        <v>120</v>
      </c>
      <c r="K211" s="23">
        <v>0.17299999999999999</v>
      </c>
    </row>
    <row r="212" spans="1:11" s="1" customFormat="1" ht="15" customHeight="1" thickBot="1" x14ac:dyDescent="0.35">
      <c r="A212" s="20" t="s">
        <v>349</v>
      </c>
      <c r="B212" s="21" t="s">
        <v>346</v>
      </c>
      <c r="C212" s="22">
        <v>466</v>
      </c>
      <c r="D212" s="21">
        <v>22.89</v>
      </c>
      <c r="E212" s="21">
        <v>32.92</v>
      </c>
      <c r="F212" s="21">
        <v>33.6</v>
      </c>
      <c r="G212" s="21">
        <v>0</v>
      </c>
      <c r="H212" s="21" t="s">
        <v>11</v>
      </c>
      <c r="I212" s="21" t="s">
        <v>11</v>
      </c>
      <c r="J212" s="21">
        <v>1</v>
      </c>
      <c r="K212" s="23">
        <v>0.1757</v>
      </c>
    </row>
    <row r="213" spans="1:11" s="1" customFormat="1" ht="15" customHeight="1" thickBot="1" x14ac:dyDescent="0.35">
      <c r="A213" s="20" t="s">
        <v>350</v>
      </c>
      <c r="B213" s="21" t="s">
        <v>346</v>
      </c>
      <c r="C213" s="22">
        <v>467.5</v>
      </c>
      <c r="D213" s="21">
        <v>22.15</v>
      </c>
      <c r="E213" s="21">
        <v>34.36</v>
      </c>
      <c r="F213" s="21">
        <v>35.06</v>
      </c>
      <c r="G213" s="21">
        <v>0</v>
      </c>
      <c r="H213" s="21" t="s">
        <v>11</v>
      </c>
      <c r="I213" s="21" t="s">
        <v>11</v>
      </c>
      <c r="J213" s="21">
        <v>1</v>
      </c>
      <c r="K213" s="23">
        <v>0.17960000000000001</v>
      </c>
    </row>
    <row r="214" spans="1:11" s="1" customFormat="1" ht="15" customHeight="1" thickBot="1" x14ac:dyDescent="0.35">
      <c r="A214" s="20" t="s">
        <v>351</v>
      </c>
      <c r="B214" s="21" t="s">
        <v>346</v>
      </c>
      <c r="C214" s="22">
        <v>468</v>
      </c>
      <c r="D214" s="21">
        <v>24.6</v>
      </c>
      <c r="E214" s="21">
        <v>34.86</v>
      </c>
      <c r="F214" s="21">
        <v>35.58</v>
      </c>
      <c r="G214" s="21">
        <v>0</v>
      </c>
      <c r="H214" s="21" t="s">
        <v>11</v>
      </c>
      <c r="I214" s="21" t="s">
        <v>11</v>
      </c>
      <c r="J214" s="21">
        <v>1</v>
      </c>
      <c r="K214" s="23">
        <v>0.18229999999999999</v>
      </c>
    </row>
    <row r="215" spans="1:11" s="1" customFormat="1" ht="15" customHeight="1" thickBot="1" x14ac:dyDescent="0.35">
      <c r="A215" s="20" t="s">
        <v>352</v>
      </c>
      <c r="B215" s="21" t="s">
        <v>114</v>
      </c>
      <c r="C215" s="22">
        <v>470</v>
      </c>
      <c r="D215" s="21">
        <v>36.799999999999997</v>
      </c>
      <c r="E215" s="21">
        <v>36.82</v>
      </c>
      <c r="F215" s="21">
        <v>37.549999999999997</v>
      </c>
      <c r="G215" s="35">
        <v>8.17</v>
      </c>
      <c r="H215" s="36">
        <v>0.28539999999999999</v>
      </c>
      <c r="I215" s="21">
        <v>1</v>
      </c>
      <c r="J215" s="21">
        <v>4</v>
      </c>
      <c r="K215" s="23">
        <v>0.18840000000000001</v>
      </c>
    </row>
    <row r="216" spans="1:11" s="1" customFormat="1" ht="15" customHeight="1" thickBot="1" x14ac:dyDescent="0.35">
      <c r="A216" s="20" t="s">
        <v>353</v>
      </c>
      <c r="B216" s="21" t="s">
        <v>354</v>
      </c>
      <c r="C216" s="22">
        <v>480</v>
      </c>
      <c r="D216" s="21">
        <v>38.450000000000003</v>
      </c>
      <c r="E216" s="21">
        <v>46.47</v>
      </c>
      <c r="F216" s="21">
        <v>47.71</v>
      </c>
      <c r="G216" s="21">
        <v>0</v>
      </c>
      <c r="H216" s="21" t="s">
        <v>11</v>
      </c>
      <c r="I216" s="21">
        <v>6</v>
      </c>
      <c r="J216" s="21">
        <v>5</v>
      </c>
      <c r="K216" s="23">
        <v>0.23069999999999999</v>
      </c>
    </row>
    <row r="217" spans="1:11" s="1" customFormat="1" ht="15" customHeight="1" thickBot="1" x14ac:dyDescent="0.35">
      <c r="A217" s="20" t="s">
        <v>355</v>
      </c>
      <c r="B217" s="21" t="s">
        <v>346</v>
      </c>
      <c r="C217" s="22">
        <v>490</v>
      </c>
      <c r="D217" s="21">
        <v>48.54</v>
      </c>
      <c r="E217" s="21">
        <v>56.46</v>
      </c>
      <c r="F217" s="21">
        <v>57.71</v>
      </c>
      <c r="G217" s="21">
        <v>0</v>
      </c>
      <c r="H217" s="21" t="s">
        <v>11</v>
      </c>
      <c r="I217" s="21" t="s">
        <v>11</v>
      </c>
      <c r="J217" s="21">
        <v>10</v>
      </c>
      <c r="K217" s="23">
        <v>0.2646</v>
      </c>
    </row>
    <row r="218" spans="1:11" s="1" customFormat="1" ht="15" customHeight="1" x14ac:dyDescent="0.3">
      <c r="A218" s="20" t="s">
        <v>356</v>
      </c>
      <c r="B218" s="21" t="s">
        <v>346</v>
      </c>
      <c r="C218" s="22">
        <v>500</v>
      </c>
      <c r="D218" s="21">
        <v>58.52</v>
      </c>
      <c r="E218" s="21">
        <v>66.459999999999994</v>
      </c>
      <c r="F218" s="21">
        <v>67.709999999999994</v>
      </c>
      <c r="G218" s="21">
        <v>0</v>
      </c>
      <c r="H218" s="21" t="s">
        <v>11</v>
      </c>
      <c r="I218" s="21" t="s">
        <v>11</v>
      </c>
      <c r="J218" s="21">
        <v>10</v>
      </c>
      <c r="K218" s="23">
        <v>0.29680000000000001</v>
      </c>
    </row>
  </sheetData>
  <hyperlinks>
    <hyperlink ref="A3" r:id="rId1" display="https://finance.yahoo.com/quote/SPY211029C00375000?p=SPY211029C00375000" xr:uid="{2BCD8172-6C55-4FFB-9ED0-65F7BBDF242C}"/>
    <hyperlink ref="C3" r:id="rId2" display="https://finance.yahoo.com/quote/SPY/options?strike=375&amp;straddle=false" xr:uid="{C71C1C00-F29C-43AA-8125-FF13D1281169}"/>
    <hyperlink ref="A4" r:id="rId3" display="https://finance.yahoo.com/quote/SPY211029C00380000?p=SPY211029C00380000" xr:uid="{766D7C87-F5DB-4CBA-9343-EA32D2BB7463}"/>
    <hyperlink ref="C4" r:id="rId4" display="https://finance.yahoo.com/quote/SPY/options?strike=380&amp;straddle=false" xr:uid="{891B2490-1604-454F-9514-1CE7E469CA16}"/>
    <hyperlink ref="A5" r:id="rId5" display="https://finance.yahoo.com/quote/SPY211029C00385000?p=SPY211029C00385000" xr:uid="{9AF430BA-2C3D-4D83-9C8F-3C5A9965CFC0}"/>
    <hyperlink ref="C5" r:id="rId6" display="https://finance.yahoo.com/quote/SPY/options?strike=385&amp;straddle=false" xr:uid="{3E68EE66-98F9-4629-89AF-7A31EE849BE4}"/>
    <hyperlink ref="A6" r:id="rId7" display="https://finance.yahoo.com/quote/SPY211029C00390000?p=SPY211029C00390000" xr:uid="{6CBF7DD2-BA90-41D2-BBEE-BCF34FEF75EC}"/>
    <hyperlink ref="C6" r:id="rId8" display="https://finance.yahoo.com/quote/SPY/options?strike=390&amp;straddle=false" xr:uid="{26894F03-059C-4A5D-A5C5-0D026D6BE6EC}"/>
    <hyperlink ref="A7" r:id="rId9" display="https://finance.yahoo.com/quote/SPY211029C00395000?p=SPY211029C00395000" xr:uid="{7CD8D79A-4757-4C1C-B9C8-750D66709D69}"/>
    <hyperlink ref="C7" r:id="rId10" display="https://finance.yahoo.com/quote/SPY/options?strike=395&amp;straddle=false" xr:uid="{6D249024-7F5B-4CF0-84BE-C5D2B8664AEB}"/>
    <hyperlink ref="A8" r:id="rId11" display="https://finance.yahoo.com/quote/SPY211029C00400000?p=SPY211029C00400000" xr:uid="{426C445A-4738-42DA-85CC-15173E930E9E}"/>
    <hyperlink ref="C8" r:id="rId12" display="https://finance.yahoo.com/quote/SPY/options?strike=400&amp;straddle=false" xr:uid="{56753743-F23B-45F4-936D-017893727A4E}"/>
    <hyperlink ref="A9" r:id="rId13" display="https://finance.yahoo.com/quote/SPY211029C00402000?p=SPY211029C00402000" xr:uid="{1609DA57-9704-4E61-B041-06356F87E1DE}"/>
    <hyperlink ref="C9" r:id="rId14" display="https://finance.yahoo.com/quote/SPY/options?strike=402&amp;straddle=false" xr:uid="{CEB1CEFB-A0A7-4B47-9BD2-9B2C1431593B}"/>
    <hyperlink ref="A10" r:id="rId15" display="https://finance.yahoo.com/quote/SPY211029C00403000?p=SPY211029C00403000" xr:uid="{6A75DCD5-FE77-4C66-826C-F593FD2E3A7B}"/>
    <hyperlink ref="C10" r:id="rId16" display="https://finance.yahoo.com/quote/SPY/options?strike=403&amp;straddle=false" xr:uid="{7CC0222E-7A21-4114-A38D-B01DE9BA4BA7}"/>
    <hyperlink ref="A11" r:id="rId17" display="https://finance.yahoo.com/quote/SPY211029C00405000?p=SPY211029C00405000" xr:uid="{4C14C8D5-ED84-4CC1-9A59-E1ADE5AB3A40}"/>
    <hyperlink ref="C11" r:id="rId18" display="https://finance.yahoo.com/quote/SPY/options?strike=405&amp;straddle=false" xr:uid="{4258BBB6-7257-4209-979C-2B7D2D70A3A0}"/>
    <hyperlink ref="A12" r:id="rId19" display="https://finance.yahoo.com/quote/SPY211029C00406000?p=SPY211029C00406000" xr:uid="{77A7173C-3020-4840-9A04-D0DAEDEFD058}"/>
    <hyperlink ref="C12" r:id="rId20" display="https://finance.yahoo.com/quote/SPY/options?strike=406&amp;straddle=false" xr:uid="{A76F2212-8170-4CBE-84D0-DE8B527DADE1}"/>
    <hyperlink ref="A13" r:id="rId21" display="https://finance.yahoo.com/quote/SPY211029C00408000?p=SPY211029C00408000" xr:uid="{344C84B3-703C-4D78-9AE9-EAE1AFD52290}"/>
    <hyperlink ref="C13" r:id="rId22" display="https://finance.yahoo.com/quote/SPY/options?strike=408&amp;straddle=false" xr:uid="{34BC8FFB-CCD0-43A1-8108-1716C3EE7793}"/>
    <hyperlink ref="A14" r:id="rId23" display="https://finance.yahoo.com/quote/SPY211029C00409000?p=SPY211029C00409000" xr:uid="{51DFC916-A354-4503-888D-F05D27C9D40B}"/>
    <hyperlink ref="C14" r:id="rId24" display="https://finance.yahoo.com/quote/SPY/options?strike=409&amp;straddle=false" xr:uid="{CDFF7E3F-0311-4E13-838E-1F5012BD3616}"/>
    <hyperlink ref="A15" r:id="rId25" display="https://finance.yahoo.com/quote/SPY211029C00410000?p=SPY211029C00410000" xr:uid="{C8C1FD43-30FC-49EA-9848-9A10C3E73040}"/>
    <hyperlink ref="C15" r:id="rId26" display="https://finance.yahoo.com/quote/SPY/options?strike=410&amp;straddle=false" xr:uid="{AC9D5661-4A8B-4B7A-B23B-97F63FAC7141}"/>
    <hyperlink ref="A16" r:id="rId27" display="https://finance.yahoo.com/quote/SPY211029C00414000?p=SPY211029C00414000" xr:uid="{D018E3A4-92EF-45ED-84DD-718B1BB28119}"/>
    <hyperlink ref="C16" r:id="rId28" display="https://finance.yahoo.com/quote/SPY/options?strike=414&amp;straddle=false" xr:uid="{323DA42D-16B9-46C1-9CDF-0272D28A5A1A}"/>
    <hyperlink ref="A17" r:id="rId29" display="https://finance.yahoo.com/quote/SPY211029C00415000?p=SPY211029C00415000" xr:uid="{17A371F4-BCE1-4A0B-86E9-0E4B090335CC}"/>
    <hyperlink ref="C17" r:id="rId30" display="https://finance.yahoo.com/quote/SPY/options?strike=415&amp;straddle=false" xr:uid="{7C0AD970-129B-47CD-9115-C67E40C0C06B}"/>
    <hyperlink ref="A18" r:id="rId31" display="https://finance.yahoo.com/quote/SPY211029C00416000?p=SPY211029C00416000" xr:uid="{79976604-F590-41C4-B3F2-4D47E2DBBB1D}"/>
    <hyperlink ref="C18" r:id="rId32" display="https://finance.yahoo.com/quote/SPY/options?strike=416&amp;straddle=false" xr:uid="{AA56A028-B6C7-489C-8C25-5DEEFFABF25D}"/>
    <hyperlink ref="A19" r:id="rId33" display="https://finance.yahoo.com/quote/SPY211029C00417500?p=SPY211029C00417500" xr:uid="{D8867F48-757C-4BB3-8413-D9AA46A8CA8F}"/>
    <hyperlink ref="C19" r:id="rId34" display="https://finance.yahoo.com/quote/SPY/options?strike=417.5&amp;straddle=false" xr:uid="{24C3DBF0-FF9A-4168-9DA0-7BA8098F901F}"/>
    <hyperlink ref="A20" r:id="rId35" display="https://finance.yahoo.com/quote/SPY211029C00420000?p=SPY211029C00420000" xr:uid="{BED12C2C-504B-41A7-9134-64209DEC7893}"/>
    <hyperlink ref="C20" r:id="rId36" display="https://finance.yahoo.com/quote/SPY/options?strike=420&amp;straddle=false" xr:uid="{583D50D1-CB63-4142-A36A-C75B47DCE939}"/>
    <hyperlink ref="A21" r:id="rId37" display="https://finance.yahoo.com/quote/SPY211029C00421000?p=SPY211029C00421000" xr:uid="{687716A9-E4AF-4592-9E74-A31D59627D90}"/>
    <hyperlink ref="C21" r:id="rId38" display="https://finance.yahoo.com/quote/SPY/options?strike=421&amp;straddle=false" xr:uid="{051AA55C-AA62-4F54-906E-DFE4D0DE1053}"/>
    <hyperlink ref="A22" r:id="rId39" display="https://finance.yahoo.com/quote/SPY211029C00422500?p=SPY211029C00422500" xr:uid="{B2AD06C6-423C-4818-AA2F-CD3670ADF9D3}"/>
    <hyperlink ref="C22" r:id="rId40" display="https://finance.yahoo.com/quote/SPY/options?strike=422.5&amp;straddle=false" xr:uid="{0BBEE7DC-32F5-464D-9556-A61546EE949F}"/>
    <hyperlink ref="A23" r:id="rId41" display="https://finance.yahoo.com/quote/SPY211029C00424000?p=SPY211029C00424000" xr:uid="{A4EC4020-66C7-4479-8B6D-267F642E18EE}"/>
    <hyperlink ref="C23" r:id="rId42" display="https://finance.yahoo.com/quote/SPY/options?strike=424&amp;straddle=false" xr:uid="{169FF1B6-F78C-499A-9EAA-4F96634357C4}"/>
    <hyperlink ref="A24" r:id="rId43" display="https://finance.yahoo.com/quote/SPY211029C00425000?p=SPY211029C00425000" xr:uid="{F7564BBD-2C82-4058-8C95-4642B8B3A9EE}"/>
    <hyperlink ref="C24" r:id="rId44" display="https://finance.yahoo.com/quote/SPY/options?strike=425&amp;straddle=false" xr:uid="{E8EED585-6B47-43CC-B88E-A94BCBCD5506}"/>
    <hyperlink ref="A25" r:id="rId45" display="https://finance.yahoo.com/quote/SPY211029C00426000?p=SPY211029C00426000" xr:uid="{2CBE52B4-F246-4254-8709-953819CCA991}"/>
    <hyperlink ref="C25" r:id="rId46" display="https://finance.yahoo.com/quote/SPY/options?strike=426&amp;straddle=false" xr:uid="{48279829-75DF-46DE-BE7F-0B21C20E3AD6}"/>
    <hyperlink ref="A26" r:id="rId47" display="https://finance.yahoo.com/quote/SPY211029C00427000?p=SPY211029C00427000" xr:uid="{8B960659-3B7F-4436-AFF5-97028AFBA381}"/>
    <hyperlink ref="C26" r:id="rId48" display="https://finance.yahoo.com/quote/SPY/options?strike=427&amp;straddle=false" xr:uid="{DDBA0A19-F73F-433D-8E80-4DAAADCA9162}"/>
    <hyperlink ref="A27" r:id="rId49" display="https://finance.yahoo.com/quote/SPY211029C00427500?p=SPY211029C00427500" xr:uid="{3E55DB3B-F347-49B3-AFCF-08A5C52E68E5}"/>
    <hyperlink ref="C27" r:id="rId50" display="https://finance.yahoo.com/quote/SPY/options?strike=427.5&amp;straddle=false" xr:uid="{7E4DD321-EED5-4772-96B1-CAFBF1F73045}"/>
    <hyperlink ref="A28" r:id="rId51" display="https://finance.yahoo.com/quote/SPY211029C00428000?p=SPY211029C00428000" xr:uid="{1609C637-6A3D-4C6D-A865-7C93AB72AECD}"/>
    <hyperlink ref="C28" r:id="rId52" display="https://finance.yahoo.com/quote/SPY/options?strike=428&amp;straddle=false" xr:uid="{00A0B66D-E0A4-4119-971F-ABB0AD72C4F0}"/>
    <hyperlink ref="A29" r:id="rId53" display="https://finance.yahoo.com/quote/SPY211029C00430000?p=SPY211029C00430000" xr:uid="{78EEDFD1-BB87-40ED-B613-718CA9E49221}"/>
    <hyperlink ref="C29" r:id="rId54" display="https://finance.yahoo.com/quote/SPY/options?strike=430&amp;straddle=false" xr:uid="{E943EE70-419A-4FB8-B3AF-D8DD528DB488}"/>
    <hyperlink ref="A30" r:id="rId55" display="https://finance.yahoo.com/quote/SPY211029C00431000?p=SPY211029C00431000" xr:uid="{49FD6C7C-F940-4159-B369-4598D3F791C0}"/>
    <hyperlink ref="C30" r:id="rId56" display="https://finance.yahoo.com/quote/SPY/options?strike=431&amp;straddle=false" xr:uid="{F37FF78B-D3DE-46CA-883E-DCA5870CE4F5}"/>
    <hyperlink ref="A31" r:id="rId57" display="https://finance.yahoo.com/quote/SPY211029C00432000?p=SPY211029C00432000" xr:uid="{B57FC387-557E-4844-9350-83A16D229EF5}"/>
    <hyperlink ref="C31" r:id="rId58" display="https://finance.yahoo.com/quote/SPY/options?strike=432&amp;straddle=false" xr:uid="{6DF69669-6B40-4729-983B-F9873CC9BE1C}"/>
    <hyperlink ref="A32" r:id="rId59" display="https://finance.yahoo.com/quote/SPY211029C00432500?p=SPY211029C00432500" xr:uid="{F6191836-9EFD-4B87-9827-5E984CF55475}"/>
    <hyperlink ref="C32" r:id="rId60" display="https://finance.yahoo.com/quote/SPY/options?strike=432.5&amp;straddle=false" xr:uid="{0E1C4A1D-3EC5-4989-AB21-416B68452947}"/>
    <hyperlink ref="A33" r:id="rId61" display="https://finance.yahoo.com/quote/SPY211029C00434000?p=SPY211029C00434000" xr:uid="{64B38D6B-36B2-4B43-8387-6FECB5B6B24B}"/>
    <hyperlink ref="C33" r:id="rId62" display="https://finance.yahoo.com/quote/SPY/options?strike=434&amp;straddle=false" xr:uid="{BDBBF1BB-B6A5-4255-9584-12C68F02FEF4}"/>
    <hyperlink ref="A34" r:id="rId63" display="https://finance.yahoo.com/quote/SPY211029C00435000?p=SPY211029C00435000" xr:uid="{71AF3F75-A941-4AF8-8007-DA1EF4E3967E}"/>
    <hyperlink ref="C34" r:id="rId64" display="https://finance.yahoo.com/quote/SPY/options?strike=435&amp;straddle=false" xr:uid="{0DEEB43E-179F-410F-A304-D3F3FFBC098D}"/>
    <hyperlink ref="A35" r:id="rId65" display="https://finance.yahoo.com/quote/SPY211029C00436000?p=SPY211029C00436000" xr:uid="{B039757A-C307-4365-AC29-8D1972DBC335}"/>
    <hyperlink ref="C35" r:id="rId66" display="https://finance.yahoo.com/quote/SPY/options?strike=436&amp;straddle=false" xr:uid="{91D06033-45A6-4EE4-85AD-D4A68A99F6CD}"/>
    <hyperlink ref="A36" r:id="rId67" display="https://finance.yahoo.com/quote/SPY211029C00437000?p=SPY211029C00437000" xr:uid="{0EBE9E24-DE8A-47C2-8311-5F7645CB0A6E}"/>
    <hyperlink ref="C36" r:id="rId68" display="https://finance.yahoo.com/quote/SPY/options?strike=437&amp;straddle=false" xr:uid="{16606F62-068A-461C-AE3A-3F215CCE4BF4}"/>
    <hyperlink ref="A37" r:id="rId69" display="https://finance.yahoo.com/quote/SPY211029C00437500?p=SPY211029C00437500" xr:uid="{BF8D7685-3E43-47F6-A9B6-78685E0C98B2}"/>
    <hyperlink ref="C37" r:id="rId70" display="https://finance.yahoo.com/quote/SPY/options?strike=437.5&amp;straddle=false" xr:uid="{0E78C8A6-68AB-41D7-8BE4-0ECAD2326757}"/>
    <hyperlink ref="A38" r:id="rId71" display="https://finance.yahoo.com/quote/SPY211029C00438000?p=SPY211029C00438000" xr:uid="{207989CA-43D6-45AE-BE15-DB599500A749}"/>
    <hyperlink ref="C38" r:id="rId72" display="https://finance.yahoo.com/quote/SPY/options?strike=438&amp;straddle=false" xr:uid="{A9F1D8AE-BC38-4847-95D3-FA68D18C1AF2}"/>
    <hyperlink ref="A39" r:id="rId73" display="https://finance.yahoo.com/quote/SPY211029C00439000?p=SPY211029C00439000" xr:uid="{05F41CBC-5173-4341-902F-D633CDE58862}"/>
    <hyperlink ref="C39" r:id="rId74" display="https://finance.yahoo.com/quote/SPY/options?strike=439&amp;straddle=false" xr:uid="{23F6FF20-FCBE-49E8-9AFE-486B995D69D9}"/>
    <hyperlink ref="A40" r:id="rId75" display="https://finance.yahoo.com/quote/SPY211029C00440000?p=SPY211029C00440000" xr:uid="{D3A6512E-D454-46E7-8789-2D874DFF89BF}"/>
    <hyperlink ref="C40" r:id="rId76" display="https://finance.yahoo.com/quote/SPY/options?strike=440&amp;straddle=false" xr:uid="{4A32D4AD-554F-4C82-8C8D-9CE60E6FC8DC}"/>
    <hyperlink ref="A41" r:id="rId77" display="https://finance.yahoo.com/quote/SPY211029C00441000?p=SPY211029C00441000" xr:uid="{EC88BF19-A940-44E8-AA87-DA5DA54F3AD8}"/>
    <hyperlink ref="C41" r:id="rId78" display="https://finance.yahoo.com/quote/SPY/options?strike=441&amp;straddle=false" xr:uid="{3AD0B7AD-1D1C-4FBC-AF1A-25944AB1E551}"/>
    <hyperlink ref="A42" r:id="rId79" display="https://finance.yahoo.com/quote/SPY211029C00442000?p=SPY211029C00442000" xr:uid="{F19BA548-AEA1-424D-8CA9-351D367C0FDA}"/>
    <hyperlink ref="C42" r:id="rId80" display="https://finance.yahoo.com/quote/SPY/options?strike=442&amp;straddle=false" xr:uid="{54FA09F8-2D47-4F57-9AEE-B34AFF972E8E}"/>
    <hyperlink ref="A43" r:id="rId81" display="https://finance.yahoo.com/quote/SPY211029C00442500?p=SPY211029C00442500" xr:uid="{AFE4740B-2FF9-4951-919F-39BB04C4229A}"/>
    <hyperlink ref="C43" r:id="rId82" display="https://finance.yahoo.com/quote/SPY/options?strike=442.5&amp;straddle=false" xr:uid="{751FDA8C-E06D-4CA7-BBB6-1A712B0AAF22}"/>
    <hyperlink ref="A44" r:id="rId83" display="https://finance.yahoo.com/quote/SPY211029C00443000?p=SPY211029C00443000" xr:uid="{DA0843D0-915A-42BA-ACAB-75EA95ACE3AB}"/>
    <hyperlink ref="C44" r:id="rId84" display="https://finance.yahoo.com/quote/SPY/options?strike=443&amp;straddle=false" xr:uid="{9EA9B22B-B35F-4729-AB98-0CC6B13FBD2D}"/>
    <hyperlink ref="A45" r:id="rId85" display="https://finance.yahoo.com/quote/SPY211029C00444000?p=SPY211029C00444000" xr:uid="{E7355C08-7A40-4AC7-9FE3-E45EAF0613A5}"/>
    <hyperlink ref="C45" r:id="rId86" display="https://finance.yahoo.com/quote/SPY/options?strike=444&amp;straddle=false" xr:uid="{57B7CA2C-85F7-410B-8509-FF23072321FE}"/>
    <hyperlink ref="A46" r:id="rId87" display="https://finance.yahoo.com/quote/SPY211029C00445000?p=SPY211029C00445000" xr:uid="{C4EB130C-F11D-46EE-BA35-DC4AE0A7C25F}"/>
    <hyperlink ref="C46" r:id="rId88" display="https://finance.yahoo.com/quote/SPY/options?strike=445&amp;straddle=false" xr:uid="{3342F7E6-1F1D-40EE-992F-6C0F725FAE72}"/>
    <hyperlink ref="A47" r:id="rId89" display="https://finance.yahoo.com/quote/SPY211029C00446000?p=SPY211029C00446000" xr:uid="{73CD2180-DE69-4477-BD5D-82AF8E2CD673}"/>
    <hyperlink ref="C47" r:id="rId90" display="https://finance.yahoo.com/quote/SPY/options?strike=446&amp;straddle=false" xr:uid="{29290944-C14A-4A74-ADD4-2786908A9678}"/>
    <hyperlink ref="A48" r:id="rId91" display="https://finance.yahoo.com/quote/SPY211029C00447000?p=SPY211029C00447000" xr:uid="{CF2264A3-9CAB-43E6-B457-2EF17C7FD512}"/>
    <hyperlink ref="C48" r:id="rId92" display="https://finance.yahoo.com/quote/SPY/options?strike=447&amp;straddle=false" xr:uid="{EBFE53C4-1EB0-4BFA-BD38-CE8679BBCE61}"/>
    <hyperlink ref="A49" r:id="rId93" display="https://finance.yahoo.com/quote/SPY211029C00447500?p=SPY211029C00447500" xr:uid="{1838D0FD-604F-41CF-B816-0B3DF487EFE4}"/>
    <hyperlink ref="C49" r:id="rId94" display="https://finance.yahoo.com/quote/SPY/options?strike=447.5&amp;straddle=false" xr:uid="{9FAF0800-CEE9-4EF4-A232-893C2A12822D}"/>
    <hyperlink ref="A50" r:id="rId95" display="https://finance.yahoo.com/quote/SPY211029C00448000?p=SPY211029C00448000" xr:uid="{417E5564-D269-4399-9B1B-14F01CF85543}"/>
    <hyperlink ref="C50" r:id="rId96" display="https://finance.yahoo.com/quote/SPY/options?strike=448&amp;straddle=false" xr:uid="{D2ED640D-74B0-4551-BF35-1363B031D562}"/>
    <hyperlink ref="A51" r:id="rId97" display="https://finance.yahoo.com/quote/SPY211029C00449000?p=SPY211029C00449000" xr:uid="{B9BEC515-504F-4CC0-9615-F83AE824CD41}"/>
    <hyperlink ref="C51" r:id="rId98" display="https://finance.yahoo.com/quote/SPY/options?strike=449&amp;straddle=false" xr:uid="{258A5E29-81E3-48F0-9843-A8180113F177}"/>
    <hyperlink ref="A52" r:id="rId99" display="https://finance.yahoo.com/quote/SPY211029C00450000?p=SPY211029C00450000" xr:uid="{D96AE879-498F-417A-9F4A-124568B8D1C7}"/>
    <hyperlink ref="C52" r:id="rId100" display="https://finance.yahoo.com/quote/SPY/options?strike=450&amp;straddle=false" xr:uid="{85842A5C-049B-4DDA-9472-F6E060C348E0}"/>
    <hyperlink ref="A53" r:id="rId101" display="https://finance.yahoo.com/quote/SPY211029C00451000?p=SPY211029C00451000" xr:uid="{9806BC43-AF37-478C-BB69-8763ED8AC6C7}"/>
    <hyperlink ref="C53" r:id="rId102" display="https://finance.yahoo.com/quote/SPY/options?strike=451&amp;straddle=false" xr:uid="{44CCBFD0-68AF-45A2-B1D0-6169D2301431}"/>
    <hyperlink ref="A54" r:id="rId103" display="https://finance.yahoo.com/quote/SPY211029C00452000?p=SPY211029C00452000" xr:uid="{D9F74A60-1054-4052-898D-E2E80E2494C9}"/>
    <hyperlink ref="C54" r:id="rId104" display="https://finance.yahoo.com/quote/SPY/options?strike=452&amp;straddle=false" xr:uid="{B9106F00-9FFF-4D5E-936F-E3000041C38B}"/>
    <hyperlink ref="A55" r:id="rId105" display="https://finance.yahoo.com/quote/SPY211029C00452500?p=SPY211029C00452500" xr:uid="{A02EDFA3-61B8-428E-8F16-477ED1992C94}"/>
    <hyperlink ref="C55" r:id="rId106" display="https://finance.yahoo.com/quote/SPY/options?strike=452.5&amp;straddle=false" xr:uid="{43F61822-79E2-4FBA-A924-7455D7695102}"/>
    <hyperlink ref="A56" r:id="rId107" display="https://finance.yahoo.com/quote/SPY211029C00453000?p=SPY211029C00453000" xr:uid="{51432EDA-BD07-4A8A-A3CE-FCD7CC05519C}"/>
    <hyperlink ref="C56" r:id="rId108" display="https://finance.yahoo.com/quote/SPY/options?strike=453&amp;straddle=false" xr:uid="{2C7B152A-0096-49E7-B578-A7AB858AD3DE}"/>
    <hyperlink ref="A57" r:id="rId109" display="https://finance.yahoo.com/quote/SPY211029C00454000?p=SPY211029C00454000" xr:uid="{59E52805-0D98-4679-B4EE-DE60BFE1C163}"/>
    <hyperlink ref="C57" r:id="rId110" display="https://finance.yahoo.com/quote/SPY/options?strike=454&amp;straddle=false" xr:uid="{933355C7-371C-41BB-9AD6-0668AF2DD642}"/>
    <hyperlink ref="A58" r:id="rId111" display="https://finance.yahoo.com/quote/SPY211029C00455000?p=SPY211029C00455000" xr:uid="{65E15433-7F15-425F-8A92-A37105492969}"/>
    <hyperlink ref="C58" r:id="rId112" display="https://finance.yahoo.com/quote/SPY/options?strike=455&amp;straddle=false" xr:uid="{D17DEE4B-6948-4B62-AC96-3EE78A9EE260}"/>
    <hyperlink ref="A59" r:id="rId113" display="https://finance.yahoo.com/quote/SPY211029C00456000?p=SPY211029C00456000" xr:uid="{7F313FCB-C03E-41E7-8895-BB468AAF6F21}"/>
    <hyperlink ref="C59" r:id="rId114" display="https://finance.yahoo.com/quote/SPY/options?strike=456&amp;straddle=false" xr:uid="{20EE77CD-98D8-4CB3-AA5D-8DCF8D1AFB50}"/>
    <hyperlink ref="A60" r:id="rId115" display="https://finance.yahoo.com/quote/SPY211029C00457000?p=SPY211029C00457000" xr:uid="{679F1932-5831-4672-8635-931CEF5F0FE1}"/>
    <hyperlink ref="C60" r:id="rId116" display="https://finance.yahoo.com/quote/SPY/options?strike=457&amp;straddle=false" xr:uid="{E0C70C3C-11B7-4334-A0FB-A3405D45E4A5}"/>
    <hyperlink ref="A61" r:id="rId117" display="https://finance.yahoo.com/quote/SPY211029C00457500?p=SPY211029C00457500" xr:uid="{5B9BE8B4-4162-4F31-AA7E-5B693C308EF7}"/>
    <hyperlink ref="C61" r:id="rId118" display="https://finance.yahoo.com/quote/SPY/options?strike=457.5&amp;straddle=false" xr:uid="{23759AAF-32AA-4396-889A-2AD4D3ECDEDC}"/>
    <hyperlink ref="A62" r:id="rId119" display="https://finance.yahoo.com/quote/SPY211029C00458000?p=SPY211029C00458000" xr:uid="{33B1F8EB-23DB-48E2-8C4E-B5557F6DC278}"/>
    <hyperlink ref="C62" r:id="rId120" display="https://finance.yahoo.com/quote/SPY/options?strike=458&amp;straddle=false" xr:uid="{FC467074-2AED-4BFD-9B89-A038B765E22A}"/>
    <hyperlink ref="A63" r:id="rId121" display="https://finance.yahoo.com/quote/SPY211029C00459000?p=SPY211029C00459000" xr:uid="{AE71A3DE-E7AE-4854-B911-E3606BE54256}"/>
    <hyperlink ref="C63" r:id="rId122" display="https://finance.yahoo.com/quote/SPY/options?strike=459&amp;straddle=false" xr:uid="{2B8004DB-F498-42A9-9962-8C4CFA63ADDF}"/>
    <hyperlink ref="A64" r:id="rId123" display="https://finance.yahoo.com/quote/SPY211029C00460000?p=SPY211029C00460000" xr:uid="{3F25849A-BD53-46A2-BF75-8DFAE9E78CE9}"/>
    <hyperlink ref="C64" r:id="rId124" display="https://finance.yahoo.com/quote/SPY/options?strike=460&amp;straddle=false" xr:uid="{E365B705-1A9F-4072-9001-C5CDB718A4E0}"/>
    <hyperlink ref="A65" r:id="rId125" display="https://finance.yahoo.com/quote/SPY211029C00461000?p=SPY211029C00461000" xr:uid="{90BAB0E5-2289-48D3-BB99-B51CC7B175B4}"/>
    <hyperlink ref="C65" r:id="rId126" display="https://finance.yahoo.com/quote/SPY/options?strike=461&amp;straddle=false" xr:uid="{686B2307-A167-4954-A222-5925E9E51476}"/>
    <hyperlink ref="A66" r:id="rId127" display="https://finance.yahoo.com/quote/SPY211029C00462000?p=SPY211029C00462000" xr:uid="{1BD3A306-AE44-4EFA-8859-9A5FB86F01BF}"/>
    <hyperlink ref="C66" r:id="rId128" display="https://finance.yahoo.com/quote/SPY/options?strike=462&amp;straddle=false" xr:uid="{E25FC554-A81B-4D5B-AB64-8C109CC7A33F}"/>
    <hyperlink ref="A67" r:id="rId129" display="https://finance.yahoo.com/quote/SPY211029C00462500?p=SPY211029C00462500" xr:uid="{0A15623E-BCFB-4847-9FC0-421C7F0C858C}"/>
    <hyperlink ref="C67" r:id="rId130" display="https://finance.yahoo.com/quote/SPY/options?strike=462.5&amp;straddle=false" xr:uid="{D2B82403-259E-4D1A-AC3B-E530247DDDB3}"/>
    <hyperlink ref="A68" r:id="rId131" display="https://finance.yahoo.com/quote/SPY211029C00463000?p=SPY211029C00463000" xr:uid="{EEB2943F-61B9-47B9-A92C-AB7A5968267C}"/>
    <hyperlink ref="C68" r:id="rId132" display="https://finance.yahoo.com/quote/SPY/options?strike=463&amp;straddle=false" xr:uid="{EC09891B-8E17-4C9F-A525-8C5FDA0CE064}"/>
    <hyperlink ref="A69" r:id="rId133" display="https://finance.yahoo.com/quote/SPY211029C00464000?p=SPY211029C00464000" xr:uid="{84B421B6-951F-46B3-9148-763A982C0E7F}"/>
    <hyperlink ref="C69" r:id="rId134" display="https://finance.yahoo.com/quote/SPY/options?strike=464&amp;straddle=false" xr:uid="{A5FB40A3-C603-4D37-AE4C-646789CD8325}"/>
    <hyperlink ref="A70" r:id="rId135" display="https://finance.yahoo.com/quote/SPY211029C00465000?p=SPY211029C00465000" xr:uid="{40FF7A41-C777-439A-846D-CF4A493A7F28}"/>
    <hyperlink ref="C70" r:id="rId136" display="https://finance.yahoo.com/quote/SPY/options?strike=465&amp;straddle=false" xr:uid="{A43C7946-D1ED-44ED-955B-FA6CFCF0AA0A}"/>
    <hyperlink ref="A71" r:id="rId137" display="https://finance.yahoo.com/quote/SPY211029C00466000?p=SPY211029C00466000" xr:uid="{8E60A59E-6A7C-4121-B13C-A289D1DA7B1B}"/>
    <hyperlink ref="C71" r:id="rId138" display="https://finance.yahoo.com/quote/SPY/options?strike=466&amp;straddle=false" xr:uid="{74B8C3C0-225E-4F68-92C3-10332254A2D2}"/>
    <hyperlink ref="A72" r:id="rId139" display="https://finance.yahoo.com/quote/SPY211029C00467000?p=SPY211029C00467000" xr:uid="{A0244995-63DF-4FDC-9006-7ACD474B5BE1}"/>
    <hyperlink ref="C72" r:id="rId140" display="https://finance.yahoo.com/quote/SPY/options?strike=467&amp;straddle=false" xr:uid="{FB5B70FE-918E-41C5-A494-D2EE870FA4F8}"/>
    <hyperlink ref="A73" r:id="rId141" display="https://finance.yahoo.com/quote/SPY211029C00467500?p=SPY211029C00467500" xr:uid="{54B3054C-0E9B-41A7-9765-F77BBDDBE0C2}"/>
    <hyperlink ref="C73" r:id="rId142" display="https://finance.yahoo.com/quote/SPY/options?strike=467.5&amp;straddle=false" xr:uid="{B414B2A6-BFFC-4173-91B2-EAABBBD844C3}"/>
    <hyperlink ref="A74" r:id="rId143" display="https://finance.yahoo.com/quote/SPY211029C00468000?p=SPY211029C00468000" xr:uid="{8DC14E36-DF8A-46E1-983C-B831DACBA7DE}"/>
    <hyperlink ref="C74" r:id="rId144" display="https://finance.yahoo.com/quote/SPY/options?strike=468&amp;straddle=false" xr:uid="{1E211A1F-6143-4701-8347-26153FF6CC42}"/>
    <hyperlink ref="A75" r:id="rId145" display="https://finance.yahoo.com/quote/SPY211029C00469000?p=SPY211029C00469000" xr:uid="{EF928E99-8456-4EE1-A699-9B42D273A4B8}"/>
    <hyperlink ref="C75" r:id="rId146" display="https://finance.yahoo.com/quote/SPY/options?strike=469&amp;straddle=false" xr:uid="{4A2497D2-EF38-474C-BF9F-D55D0663E80C}"/>
    <hyperlink ref="A76" r:id="rId147" display="https://finance.yahoo.com/quote/SPY211029C00470000?p=SPY211029C00470000" xr:uid="{06FF66A7-DC0A-47BD-9AC4-403C4AB009C1}"/>
    <hyperlink ref="C76" r:id="rId148" display="https://finance.yahoo.com/quote/SPY/options?strike=470&amp;straddle=false" xr:uid="{6790115A-DA9D-4878-BF89-CFB5A40BF120}"/>
    <hyperlink ref="A77" r:id="rId149" display="https://finance.yahoo.com/quote/SPY211029C00471000?p=SPY211029C00471000" xr:uid="{604115D0-B86A-4C69-9B56-5BACF7D694A7}"/>
    <hyperlink ref="C77" r:id="rId150" display="https://finance.yahoo.com/quote/SPY/options?strike=471&amp;straddle=false" xr:uid="{D7BBBA4A-9266-4BA4-A881-A16B934D209B}"/>
    <hyperlink ref="A78" r:id="rId151" display="https://finance.yahoo.com/quote/SPY211029C00472000?p=SPY211029C00472000" xr:uid="{71B0BDCE-2FF7-4059-8F2F-1BF32A0D95FA}"/>
    <hyperlink ref="C78" r:id="rId152" display="https://finance.yahoo.com/quote/SPY/options?strike=472&amp;straddle=false" xr:uid="{B3CC3398-E545-45B2-9D35-939FDAA10CAF}"/>
    <hyperlink ref="A79" r:id="rId153" display="https://finance.yahoo.com/quote/SPY211029C00472500?p=SPY211029C00472500" xr:uid="{2EA00260-6F14-486A-A85A-BD1796085A0D}"/>
    <hyperlink ref="C79" r:id="rId154" display="https://finance.yahoo.com/quote/SPY/options?strike=472.5&amp;straddle=false" xr:uid="{07ABA6F9-E2B3-4AF3-A7BC-F3C53EF3BEC9}"/>
    <hyperlink ref="A80" r:id="rId155" display="https://finance.yahoo.com/quote/SPY211029C00473000?p=SPY211029C00473000" xr:uid="{2A289F30-EA9F-476B-A0D9-08E65853C20F}"/>
    <hyperlink ref="C80" r:id="rId156" display="https://finance.yahoo.com/quote/SPY/options?strike=473&amp;straddle=false" xr:uid="{7D5D321F-0ED4-412E-A009-90FF58A2CFDA}"/>
    <hyperlink ref="A81" r:id="rId157" display="https://finance.yahoo.com/quote/SPY211029C00474000?p=SPY211029C00474000" xr:uid="{07B336CF-C151-4CDE-89B0-ACE9095BD1A1}"/>
    <hyperlink ref="C81" r:id="rId158" display="https://finance.yahoo.com/quote/SPY/options?strike=474&amp;straddle=false" xr:uid="{35B40A3D-AF83-4302-BCC8-D165C8F6830B}"/>
    <hyperlink ref="A82" r:id="rId159" display="https://finance.yahoo.com/quote/SPY211029C00475000?p=SPY211029C00475000" xr:uid="{00AA7E7B-2F28-4018-9F97-8ECFE582F31D}"/>
    <hyperlink ref="C82" r:id="rId160" display="https://finance.yahoo.com/quote/SPY/options?strike=475&amp;straddle=false" xr:uid="{9F90B88C-C98C-493D-9749-DE6B46578979}"/>
    <hyperlink ref="A83" r:id="rId161" display="https://finance.yahoo.com/quote/SPY211029C00476000?p=SPY211029C00476000" xr:uid="{4E113C5E-1342-4BFD-B046-C3D819894FE6}"/>
    <hyperlink ref="C83" r:id="rId162" display="https://finance.yahoo.com/quote/SPY/options?strike=476&amp;straddle=false" xr:uid="{06DABEC3-A199-4F2B-81DC-4E14250E7DE4}"/>
    <hyperlink ref="A84" r:id="rId163" display="https://finance.yahoo.com/quote/SPY211029C00477000?p=SPY211029C00477000" xr:uid="{3DE63237-53D7-410B-B15C-6E20A5ACF50B}"/>
    <hyperlink ref="C84" r:id="rId164" display="https://finance.yahoo.com/quote/SPY/options?strike=477&amp;straddle=false" xr:uid="{A2C38CAD-BC26-4196-BD90-A30DF73F8448}"/>
    <hyperlink ref="A85" r:id="rId165" display="https://finance.yahoo.com/quote/SPY211029C00477500?p=SPY211029C00477500" xr:uid="{78FC5FD0-030F-415D-A761-2539F4BF9667}"/>
    <hyperlink ref="C85" r:id="rId166" display="https://finance.yahoo.com/quote/SPY/options?strike=477.5&amp;straddle=false" xr:uid="{4C5FF545-F8BF-4004-BD9E-096B3A691BDC}"/>
    <hyperlink ref="A86" r:id="rId167" display="https://finance.yahoo.com/quote/SPY211029C00478000?p=SPY211029C00478000" xr:uid="{18534CC0-7630-4EA1-8798-E976486B9F31}"/>
    <hyperlink ref="C86" r:id="rId168" display="https://finance.yahoo.com/quote/SPY/options?strike=478&amp;straddle=false" xr:uid="{ACC5311E-A549-4359-B9E0-974F2713B464}"/>
    <hyperlink ref="A87" r:id="rId169" display="https://finance.yahoo.com/quote/SPY211029C00479000?p=SPY211029C00479000" xr:uid="{D57F4684-EF12-41B9-8C77-AE24FEA1A406}"/>
    <hyperlink ref="C87" r:id="rId170" display="https://finance.yahoo.com/quote/SPY/options?strike=479&amp;straddle=false" xr:uid="{05F2B1FD-A473-4371-B37C-2F0E27226A89}"/>
    <hyperlink ref="A88" r:id="rId171" display="https://finance.yahoo.com/quote/SPY211029C00480000?p=SPY211029C00480000" xr:uid="{CFEF8A3D-99B4-43C6-A5A3-CD64D6C830C9}"/>
    <hyperlink ref="C88" r:id="rId172" display="https://finance.yahoo.com/quote/SPY/options?strike=480&amp;straddle=false" xr:uid="{9485E5E6-105D-4BEF-B75E-44C6D3C8A71A}"/>
    <hyperlink ref="A89" r:id="rId173" display="https://finance.yahoo.com/quote/SPY211029C00482000?p=SPY211029C00482000" xr:uid="{30385886-D1EA-4E2B-8C18-52DDF91EDDDD}"/>
    <hyperlink ref="C89" r:id="rId174" display="https://finance.yahoo.com/quote/SPY/options?strike=482&amp;straddle=false" xr:uid="{859ED238-3582-4B27-8F8E-2B20DE75D073}"/>
    <hyperlink ref="A90" r:id="rId175" display="https://finance.yahoo.com/quote/SPY211029C00482500?p=SPY211029C00482500" xr:uid="{538B91B0-0801-4F95-84D6-EB0EDBD79DD6}"/>
    <hyperlink ref="C90" r:id="rId176" display="https://finance.yahoo.com/quote/SPY/options?strike=482.5&amp;straddle=false" xr:uid="{165D7E3A-FDE5-4B55-9322-82F1FEB8777E}"/>
    <hyperlink ref="A91" r:id="rId177" display="https://finance.yahoo.com/quote/SPY211029C00483000?p=SPY211029C00483000" xr:uid="{9CC5FB31-938D-4C38-8880-5727BCF55C19}"/>
    <hyperlink ref="C91" r:id="rId178" display="https://finance.yahoo.com/quote/SPY/options?strike=483&amp;straddle=false" xr:uid="{1879C367-19A5-4A73-88B2-74EC28371F83}"/>
    <hyperlink ref="A92" r:id="rId179" display="https://finance.yahoo.com/quote/SPY211029C00484000?p=SPY211029C00484000" xr:uid="{74ABD2DA-9509-44BE-95C4-D252CF93A627}"/>
    <hyperlink ref="C92" r:id="rId180" display="https://finance.yahoo.com/quote/SPY/options?strike=484&amp;straddle=false" xr:uid="{651F53AE-113F-40A7-873F-1D9CBD2CDA7D}"/>
    <hyperlink ref="A93" r:id="rId181" display="https://finance.yahoo.com/quote/SPY211029C00485000?p=SPY211029C00485000" xr:uid="{B0E790F9-65F8-4D02-BF33-58652276CFA8}"/>
    <hyperlink ref="C93" r:id="rId182" display="https://finance.yahoo.com/quote/SPY/options?strike=485&amp;straddle=false" xr:uid="{85436B4C-1324-4A6A-AC42-1E7B22DD2922}"/>
    <hyperlink ref="A94" r:id="rId183" display="https://finance.yahoo.com/quote/SPY211029C00486000?p=SPY211029C00486000" xr:uid="{A19793D8-A3D5-4F23-AF06-DDACD0E29765}"/>
    <hyperlink ref="C94" r:id="rId184" display="https://finance.yahoo.com/quote/SPY/options?strike=486&amp;straddle=false" xr:uid="{CA407328-CB01-4A4E-BC03-1C96022B90A9}"/>
    <hyperlink ref="A95" r:id="rId185" display="https://finance.yahoo.com/quote/SPY211029C00487000?p=SPY211029C00487000" xr:uid="{D9CADD44-8241-4D95-B183-CE311A1333F7}"/>
    <hyperlink ref="C95" r:id="rId186" display="https://finance.yahoo.com/quote/SPY/options?strike=487&amp;straddle=false" xr:uid="{DBDAC65A-563D-485F-8CD4-949CD9FF2DF2}"/>
    <hyperlink ref="A96" r:id="rId187" display="https://finance.yahoo.com/quote/SPY211029C00488000?p=SPY211029C00488000" xr:uid="{412A1275-7B65-4BDB-A8FE-117BCA428034}"/>
    <hyperlink ref="C96" r:id="rId188" display="https://finance.yahoo.com/quote/SPY/options?strike=488&amp;straddle=false" xr:uid="{92181523-E92F-4BC8-96B3-4DC176245DDF}"/>
    <hyperlink ref="A97" r:id="rId189" display="https://finance.yahoo.com/quote/SPY211029C00490000?p=SPY211029C00490000" xr:uid="{E5968913-66C2-4E20-9D63-DDCEF66FC810}"/>
    <hyperlink ref="C97" r:id="rId190" display="https://finance.yahoo.com/quote/SPY/options?strike=490&amp;straddle=false" xr:uid="{BDD5F8A8-C309-43D2-9901-281C56609DE3}"/>
    <hyperlink ref="A98" r:id="rId191" display="https://finance.yahoo.com/quote/SPY211029C00495000?p=SPY211029C00495000" xr:uid="{CDF98BBF-5166-4552-9679-21D1BCD516BB}"/>
    <hyperlink ref="C98" r:id="rId192" display="https://finance.yahoo.com/quote/SPY/options?strike=495&amp;straddle=false" xr:uid="{646DB6E1-54B9-4027-8DB6-92A9EBD1FF7C}"/>
    <hyperlink ref="A99" r:id="rId193" display="https://finance.yahoo.com/quote/SPY211029C00500000?p=SPY211029C00500000" xr:uid="{4CFD47C4-2C61-45B2-B862-CE9CABA6852B}"/>
    <hyperlink ref="C99" r:id="rId194" display="https://finance.yahoo.com/quote/SPY/options?strike=500&amp;straddle=false" xr:uid="{DAB23B79-0227-4315-9CCE-3BB0CDEE168C}"/>
    <hyperlink ref="A100" r:id="rId195" display="https://finance.yahoo.com/quote/SPY211029C00510000?p=SPY211029C00510000" xr:uid="{1164F0C6-1286-43AA-BF0B-FFE1142FE535}"/>
    <hyperlink ref="C100" r:id="rId196" display="https://finance.yahoo.com/quote/SPY/options?strike=510&amp;straddle=false" xr:uid="{46115DBC-B835-4BFE-95C0-E207AB12CE6E}"/>
    <hyperlink ref="A101" r:id="rId197" display="https://finance.yahoo.com/quote/SPY211029C00520000?p=SPY211029C00520000" xr:uid="{B7EFAFEB-F005-4786-9507-4693377E90C2}"/>
    <hyperlink ref="C101" r:id="rId198" display="https://finance.yahoo.com/quote/SPY/options?strike=520&amp;straddle=false" xr:uid="{7232EA08-8140-49C0-A9E7-B5E6672CA77F}"/>
    <hyperlink ref="A102" r:id="rId199" display="https://finance.yahoo.com/quote/SPY211029C00540000?p=SPY211029C00540000" xr:uid="{D03DA7A0-9CD9-412D-AFA8-4C06118062BD}"/>
    <hyperlink ref="C102" r:id="rId200" display="https://finance.yahoo.com/quote/SPY/options?strike=540&amp;straddle=false" xr:uid="{64F157D9-919F-4D6C-9D20-627338A88ACE}"/>
    <hyperlink ref="A105" r:id="rId201" display="https://finance.yahoo.com/quote/SPY211029P00240000?p=SPY211029P00240000" xr:uid="{67D60271-6970-422C-858F-FD6BFC22D05E}"/>
    <hyperlink ref="C105" r:id="rId202" display="https://finance.yahoo.com/quote/SPY/options?strike=240&amp;straddle=false" xr:uid="{B976674C-95AE-4DA9-8BC3-60140554A0A6}"/>
    <hyperlink ref="A106" r:id="rId203" display="https://finance.yahoo.com/quote/SPY211029P00250000?p=SPY211029P00250000" xr:uid="{0794A983-D01D-4567-A789-1F9B5EB203DE}"/>
    <hyperlink ref="C106" r:id="rId204" display="https://finance.yahoo.com/quote/SPY/options?strike=250&amp;straddle=false" xr:uid="{1FDB949E-F464-4DA5-A41D-E56009AA3393}"/>
    <hyperlink ref="A107" r:id="rId205" display="https://finance.yahoo.com/quote/SPY211029P00270000?p=SPY211029P00270000" xr:uid="{27F2D37B-F777-43A1-9E5C-A86A0B8AA3F4}"/>
    <hyperlink ref="C107" r:id="rId206" display="https://finance.yahoo.com/quote/SPY/options?strike=270&amp;straddle=false" xr:uid="{9E0DEA53-4CA3-4EC2-8464-EB6075CB1332}"/>
    <hyperlink ref="A108" r:id="rId207" display="https://finance.yahoo.com/quote/SPY211029P00275000?p=SPY211029P00275000" xr:uid="{C2B1AA09-D644-4165-BCB2-CF580A00605C}"/>
    <hyperlink ref="C108" r:id="rId208" display="https://finance.yahoo.com/quote/SPY/options?strike=275&amp;straddle=false" xr:uid="{DA5B6DE1-051A-4C83-BDC9-05B8F674F664}"/>
    <hyperlink ref="A109" r:id="rId209" display="https://finance.yahoo.com/quote/SPY211029P00280000?p=SPY211029P00280000" xr:uid="{ECE8A509-245A-4A00-9D73-0A2D66B31FDD}"/>
    <hyperlink ref="C109" r:id="rId210" display="https://finance.yahoo.com/quote/SPY/options?strike=280&amp;straddle=false" xr:uid="{66C7389E-AB1A-4F6D-AC5B-2228A1843F65}"/>
    <hyperlink ref="A110" r:id="rId211" display="https://finance.yahoo.com/quote/SPY211029P00285000?p=SPY211029P00285000" xr:uid="{C87BF871-FAD8-4294-8C8F-7B0DE0BDCF3A}"/>
    <hyperlink ref="C110" r:id="rId212" display="https://finance.yahoo.com/quote/SPY/options?strike=285&amp;straddle=false" xr:uid="{4C5C76B2-9380-4180-8F04-38FF27303233}"/>
    <hyperlink ref="A111" r:id="rId213" display="https://finance.yahoo.com/quote/SPY211029P00290000?p=SPY211029P00290000" xr:uid="{027D2F26-2EC0-46D1-BD24-E6BE672B6744}"/>
    <hyperlink ref="C111" r:id="rId214" display="https://finance.yahoo.com/quote/SPY/options?strike=290&amp;straddle=false" xr:uid="{7DF0C444-E05F-4884-88CB-CAA0C09CC52D}"/>
    <hyperlink ref="A112" r:id="rId215" display="https://finance.yahoo.com/quote/SPY211029P00295000?p=SPY211029P00295000" xr:uid="{DA4B199B-D610-4537-AFFD-A40D6B6E0CFC}"/>
    <hyperlink ref="C112" r:id="rId216" display="https://finance.yahoo.com/quote/SPY/options?strike=295&amp;straddle=false" xr:uid="{86340A51-680E-468C-B4EE-AABB0A739861}"/>
    <hyperlink ref="A113" r:id="rId217" display="https://finance.yahoo.com/quote/SPY211029P00300000?p=SPY211029P00300000" xr:uid="{4952D4F4-7EF2-49CC-A73F-8092CF286D77}"/>
    <hyperlink ref="C113" r:id="rId218" display="https://finance.yahoo.com/quote/SPY/options?strike=300&amp;straddle=false" xr:uid="{167F367A-098B-4749-AE1F-DEB3BF1FAA4B}"/>
    <hyperlink ref="A114" r:id="rId219" display="https://finance.yahoo.com/quote/SPY211029P00305000?p=SPY211029P00305000" xr:uid="{C46DD3D9-6072-4DAD-886C-B74575AF9B03}"/>
    <hyperlink ref="C114" r:id="rId220" display="https://finance.yahoo.com/quote/SPY/options?strike=305&amp;straddle=false" xr:uid="{FBE935B0-35AD-4A13-8E46-81114FC624BD}"/>
    <hyperlink ref="A115" r:id="rId221" display="https://finance.yahoo.com/quote/SPY211029P00310000?p=SPY211029P00310000" xr:uid="{91D108C1-8875-4DE7-A644-13D4556399B9}"/>
    <hyperlink ref="C115" r:id="rId222" display="https://finance.yahoo.com/quote/SPY/options?strike=310&amp;straddle=false" xr:uid="{51545183-4B71-4813-AE0A-FE750A075DF7}"/>
    <hyperlink ref="A116" r:id="rId223" display="https://finance.yahoo.com/quote/SPY211029P00315000?p=SPY211029P00315000" xr:uid="{7B7F25CA-6D61-406D-9534-72CAE46A9464}"/>
    <hyperlink ref="C116" r:id="rId224" display="https://finance.yahoo.com/quote/SPY/options?strike=315&amp;straddle=false" xr:uid="{2F8B5C1C-F8C7-4EF8-AD2B-1713C595A26F}"/>
    <hyperlink ref="A117" r:id="rId225" display="https://finance.yahoo.com/quote/SPY211029P00320000?p=SPY211029P00320000" xr:uid="{909ACFAB-0BE1-480A-8DF1-0918BC1B1BD8}"/>
    <hyperlink ref="C117" r:id="rId226" display="https://finance.yahoo.com/quote/SPY/options?strike=320&amp;straddle=false" xr:uid="{B8A96A95-C345-4C9C-AD76-70B9FE20AAAA}"/>
    <hyperlink ref="A118" r:id="rId227" display="https://finance.yahoo.com/quote/SPY211029P00325000?p=SPY211029P00325000" xr:uid="{9BCB8240-C502-4441-8AD3-095E6ADDE391}"/>
    <hyperlink ref="C118" r:id="rId228" display="https://finance.yahoo.com/quote/SPY/options?strike=325&amp;straddle=false" xr:uid="{E7D6D999-0F7F-4F49-859C-0442BD01FA74}"/>
    <hyperlink ref="A119" r:id="rId229" display="https://finance.yahoo.com/quote/SPY211029P00330000?p=SPY211029P00330000" xr:uid="{FC1B8BC2-F09F-43F5-AFA8-CA5021DDFF0E}"/>
    <hyperlink ref="C119" r:id="rId230" display="https://finance.yahoo.com/quote/SPY/options?strike=330&amp;straddle=false" xr:uid="{607388B4-E18F-4A29-A63D-CFACBB473265}"/>
    <hyperlink ref="A120" r:id="rId231" display="https://finance.yahoo.com/quote/SPY211029P00335000?p=SPY211029P00335000" xr:uid="{18142661-F0F1-471E-9CAF-A4C2FB535B7F}"/>
    <hyperlink ref="C120" r:id="rId232" display="https://finance.yahoo.com/quote/SPY/options?strike=335&amp;straddle=false" xr:uid="{C6FA181B-A10E-4487-8D4F-9482D00C7598}"/>
    <hyperlink ref="A121" r:id="rId233" display="https://finance.yahoo.com/quote/SPY211029P00340000?p=SPY211029P00340000" xr:uid="{6DDD4C01-F18A-4E72-BD4C-94733EADF2BF}"/>
    <hyperlink ref="C121" r:id="rId234" display="https://finance.yahoo.com/quote/SPY/options?strike=340&amp;straddle=false" xr:uid="{2521452C-EE84-466C-BC65-52A2C658BD1E}"/>
    <hyperlink ref="A122" r:id="rId235" display="https://finance.yahoo.com/quote/SPY211029P00345000?p=SPY211029P00345000" xr:uid="{704346C7-F55E-4DB1-9CA5-73A5CB072D75}"/>
    <hyperlink ref="C122" r:id="rId236" display="https://finance.yahoo.com/quote/SPY/options?strike=345&amp;straddle=false" xr:uid="{ADAC8C1C-FAB4-44FF-974A-19101896DCAE}"/>
    <hyperlink ref="A123" r:id="rId237" display="https://finance.yahoo.com/quote/SPY211029P00350000?p=SPY211029P00350000" xr:uid="{A5BC5BBA-8564-42AD-BA4A-91BAF50B3854}"/>
    <hyperlink ref="C123" r:id="rId238" display="https://finance.yahoo.com/quote/SPY/options?strike=350&amp;straddle=false" xr:uid="{D8660AF8-BDB4-4BAD-9653-7CBA913A3C6B}"/>
    <hyperlink ref="A124" r:id="rId239" display="https://finance.yahoo.com/quote/SPY211029P00355000?p=SPY211029P00355000" xr:uid="{1E76BD7D-27B0-48C0-AC93-5AA76C0C2D0D}"/>
    <hyperlink ref="C124" r:id="rId240" display="https://finance.yahoo.com/quote/SPY/options?strike=355&amp;straddle=false" xr:uid="{3C74771B-9C06-444B-B0C5-EA923D2BB018}"/>
    <hyperlink ref="A125" r:id="rId241" display="https://finance.yahoo.com/quote/SPY211029P00358000?p=SPY211029P00358000" xr:uid="{3AF736DF-54E6-4B43-8EE8-FF59A9925587}"/>
    <hyperlink ref="C125" r:id="rId242" display="https://finance.yahoo.com/quote/SPY/options?strike=358&amp;straddle=false" xr:uid="{3010A75E-95E7-42A4-B939-4F9A10FA325B}"/>
    <hyperlink ref="A126" r:id="rId243" display="https://finance.yahoo.com/quote/SPY211029P00360000?p=SPY211029P00360000" xr:uid="{82AE3F26-4306-482B-8D4E-9078B53CAF1A}"/>
    <hyperlink ref="C126" r:id="rId244" display="https://finance.yahoo.com/quote/SPY/options?strike=360&amp;straddle=false" xr:uid="{B4D48EB7-5088-433B-A148-95A0D5AC96AA}"/>
    <hyperlink ref="A127" r:id="rId245" display="https://finance.yahoo.com/quote/SPY211029P00362000?p=SPY211029P00362000" xr:uid="{0C0FF3DC-743A-47D9-A33B-FE32EDE42604}"/>
    <hyperlink ref="C127" r:id="rId246" display="https://finance.yahoo.com/quote/SPY/options?strike=362&amp;straddle=false" xr:uid="{C5711FB8-21B4-4D3B-8EB5-7A82A12E0318}"/>
    <hyperlink ref="A128" r:id="rId247" display="https://finance.yahoo.com/quote/SPY211029P00364000?p=SPY211029P00364000" xr:uid="{77C6636F-901A-4881-8C6C-CACF91140252}"/>
    <hyperlink ref="C128" r:id="rId248" display="https://finance.yahoo.com/quote/SPY/options?strike=364&amp;straddle=false" xr:uid="{A0EC9C31-782D-47D5-9B06-96E285DE3244}"/>
    <hyperlink ref="A129" r:id="rId249" display="https://finance.yahoo.com/quote/SPY211029P00365000?p=SPY211029P00365000" xr:uid="{BF6CC28C-88DF-4ECB-B449-9CD69111AA76}"/>
    <hyperlink ref="C129" r:id="rId250" display="https://finance.yahoo.com/quote/SPY/options?strike=365&amp;straddle=false" xr:uid="{91EC1F5F-C824-4D6E-B908-F8D8C426967C}"/>
    <hyperlink ref="A130" r:id="rId251" display="https://finance.yahoo.com/quote/SPY211029P00366000?p=SPY211029P00366000" xr:uid="{21582E20-1AC2-4713-94FD-6BCDFE411AAF}"/>
    <hyperlink ref="C130" r:id="rId252" display="https://finance.yahoo.com/quote/SPY/options?strike=366&amp;straddle=false" xr:uid="{B8EA289C-C9EC-47DA-A4AA-2071F3B6A0CC}"/>
    <hyperlink ref="A131" r:id="rId253" display="https://finance.yahoo.com/quote/SPY211029P00368000?p=SPY211029P00368000" xr:uid="{961868AD-7E0D-4878-8322-B2CA9FFA6EE9}"/>
    <hyperlink ref="C131" r:id="rId254" display="https://finance.yahoo.com/quote/SPY/options?strike=368&amp;straddle=false" xr:uid="{1556D375-297C-40E6-9DBA-84E9C305669E}"/>
    <hyperlink ref="A132" r:id="rId255" display="https://finance.yahoo.com/quote/SPY211029P00370000?p=SPY211029P00370000" xr:uid="{580BCE5D-0C77-4145-B1A0-AA87A6CCFBC6}"/>
    <hyperlink ref="C132" r:id="rId256" display="https://finance.yahoo.com/quote/SPY/options?strike=370&amp;straddle=false" xr:uid="{91886888-3C91-4A38-B61C-D22FC0CC9133}"/>
    <hyperlink ref="A133" r:id="rId257" display="https://finance.yahoo.com/quote/SPY211029P00372000?p=SPY211029P00372000" xr:uid="{251D9B26-28E7-4081-B85A-8407AF12662F}"/>
    <hyperlink ref="C133" r:id="rId258" display="https://finance.yahoo.com/quote/SPY/options?strike=372&amp;straddle=false" xr:uid="{78F7E13B-9848-4030-9A5C-C655B1AD41A0}"/>
    <hyperlink ref="A134" r:id="rId259" display="https://finance.yahoo.com/quote/SPY211029P00375000?p=SPY211029P00375000" xr:uid="{5BAFDD45-BF76-4283-9318-C0B396E9F452}"/>
    <hyperlink ref="C134" r:id="rId260" display="https://finance.yahoo.com/quote/SPY/options?strike=375&amp;straddle=false" xr:uid="{B231FDA8-C3B0-4463-8C7E-507393DF7B9D}"/>
    <hyperlink ref="A135" r:id="rId261" display="https://finance.yahoo.com/quote/SPY211029P00380000?p=SPY211029P00380000" xr:uid="{1ADA7DB8-C70D-40FB-A08A-F43B38802FA1}"/>
    <hyperlink ref="C135" r:id="rId262" display="https://finance.yahoo.com/quote/SPY/options?strike=380&amp;straddle=false" xr:uid="{CA4FEECE-9923-4C17-AE0E-4974CBB271C9}"/>
    <hyperlink ref="A136" r:id="rId263" display="https://finance.yahoo.com/quote/SPY211029P00385000?p=SPY211029P00385000" xr:uid="{50DABFE4-F982-4F58-AC7D-29C15A1D476E}"/>
    <hyperlink ref="C136" r:id="rId264" display="https://finance.yahoo.com/quote/SPY/options?strike=385&amp;straddle=false" xr:uid="{4B005C3B-B205-4C2A-BD24-9DF258A9E5BF}"/>
    <hyperlink ref="A137" r:id="rId265" display="https://finance.yahoo.com/quote/SPY211029P00390000?p=SPY211029P00390000" xr:uid="{3E1EF25A-A7EF-447E-9D72-CB7ED2CE6D2C}"/>
    <hyperlink ref="C137" r:id="rId266" display="https://finance.yahoo.com/quote/SPY/options?strike=390&amp;straddle=false" xr:uid="{C42814BD-BD9A-45DC-B2D5-71DEF3E99DAE}"/>
    <hyperlink ref="A138" r:id="rId267" display="https://finance.yahoo.com/quote/SPY211029P00395000?p=SPY211029P00395000" xr:uid="{77D49DCF-FAD3-4ADA-941B-CDF102F78D71}"/>
    <hyperlink ref="C138" r:id="rId268" display="https://finance.yahoo.com/quote/SPY/options?strike=395&amp;straddle=false" xr:uid="{FFD95676-0DF6-4221-AE75-F885140EA0EC}"/>
    <hyperlink ref="A139" r:id="rId269" display="https://finance.yahoo.com/quote/SPY211029P00398000?p=SPY211029P00398000" xr:uid="{F3134BC4-4553-4D85-AB31-9CA35F49F467}"/>
    <hyperlink ref="C139" r:id="rId270" display="https://finance.yahoo.com/quote/SPY/options?strike=398&amp;straddle=false" xr:uid="{FCA91421-C238-4609-A271-FEA72A659457}"/>
    <hyperlink ref="A140" r:id="rId271" display="https://finance.yahoo.com/quote/SPY211029P00400000?p=SPY211029P00400000" xr:uid="{EAB48201-0895-466F-A88F-392183218136}"/>
    <hyperlink ref="C140" r:id="rId272" display="https://finance.yahoo.com/quote/SPY/options?strike=400&amp;straddle=false" xr:uid="{5C7DEB0A-281B-46AE-839C-9677CADB2F92}"/>
    <hyperlink ref="A141" r:id="rId273" display="https://finance.yahoo.com/quote/SPY211029P00402000?p=SPY211029P00402000" xr:uid="{E27B55A4-120A-48DF-8DF2-1D3DA2859481}"/>
    <hyperlink ref="C141" r:id="rId274" display="https://finance.yahoo.com/quote/SPY/options?strike=402&amp;straddle=false" xr:uid="{789AD252-9C3A-4D29-8692-FB74A214DE93}"/>
    <hyperlink ref="A142" r:id="rId275" display="https://finance.yahoo.com/quote/SPY211029P00403000?p=SPY211029P00403000" xr:uid="{9A78F981-AB2A-45EA-879C-8AA431F95286}"/>
    <hyperlink ref="C142" r:id="rId276" display="https://finance.yahoo.com/quote/SPY/options?strike=403&amp;straddle=false" xr:uid="{A0AC384B-540D-4DC9-8967-9EA43C11F74C}"/>
    <hyperlink ref="A143" r:id="rId277" display="https://finance.yahoo.com/quote/SPY211029P00404000?p=SPY211029P00404000" xr:uid="{A85890C7-AD13-4EA1-8386-E8327B646FB9}"/>
    <hyperlink ref="C143" r:id="rId278" display="https://finance.yahoo.com/quote/SPY/options?strike=404&amp;straddle=false" xr:uid="{0C98880B-8BD9-4719-89A7-83CF02D27CB1}"/>
    <hyperlink ref="A144" r:id="rId279" display="https://finance.yahoo.com/quote/SPY211029P00405000?p=SPY211029P00405000" xr:uid="{3E599C06-C5C7-42F4-91AD-096AA7C8CAFA}"/>
    <hyperlink ref="C144" r:id="rId280" display="https://finance.yahoo.com/quote/SPY/options?strike=405&amp;straddle=false" xr:uid="{3DFB2805-2E2D-4216-85C3-82487D0E3171}"/>
    <hyperlink ref="A145" r:id="rId281" display="https://finance.yahoo.com/quote/SPY211029P00406000?p=SPY211029P00406000" xr:uid="{300D66D8-0AA7-46DB-96DD-4B760F23E2A9}"/>
    <hyperlink ref="C145" r:id="rId282" display="https://finance.yahoo.com/quote/SPY/options?strike=406&amp;straddle=false" xr:uid="{1CD7CC81-473B-4017-A9E9-8D0E27F5F349}"/>
    <hyperlink ref="A146" r:id="rId283" display="https://finance.yahoo.com/quote/SPY211029P00408000?p=SPY211029P00408000" xr:uid="{C2BFC8D0-0667-40B3-B6DC-8E34005C369C}"/>
    <hyperlink ref="C146" r:id="rId284" display="https://finance.yahoo.com/quote/SPY/options?strike=408&amp;straddle=false" xr:uid="{7583EB25-7AD5-4B9D-87D5-F10BB45A7562}"/>
    <hyperlink ref="A147" r:id="rId285" display="https://finance.yahoo.com/quote/SPY211029P00409000?p=SPY211029P00409000" xr:uid="{35C80C13-41D6-4105-89B3-DAFDA6B6CDB1}"/>
    <hyperlink ref="C147" r:id="rId286" display="https://finance.yahoo.com/quote/SPY/options?strike=409&amp;straddle=false" xr:uid="{7AE1D475-410B-4F66-BE86-18032A3CD763}"/>
    <hyperlink ref="A148" r:id="rId287" display="https://finance.yahoo.com/quote/SPY211029P00410000?p=SPY211029P00410000" xr:uid="{D20E2BC8-4BA9-44D9-9A0D-A62B288A6F18}"/>
    <hyperlink ref="C148" r:id="rId288" display="https://finance.yahoo.com/quote/SPY/options?strike=410&amp;straddle=false" xr:uid="{763D7D8F-A1C6-45E9-B8CA-B810E4CECDC8}"/>
    <hyperlink ref="A149" r:id="rId289" display="https://finance.yahoo.com/quote/SPY211029P00411000?p=SPY211029P00411000" xr:uid="{8F8809B2-262F-4CFD-9765-C286D772D56D}"/>
    <hyperlink ref="C149" r:id="rId290" display="https://finance.yahoo.com/quote/SPY/options?strike=411&amp;straddle=false" xr:uid="{404864B8-9EC6-4FAE-9197-A6CA29DA1D4B}"/>
    <hyperlink ref="A150" r:id="rId291" display="https://finance.yahoo.com/quote/SPY211029P00412000?p=SPY211029P00412000" xr:uid="{5E043F56-1069-413D-A9E1-EE0561393974}"/>
    <hyperlink ref="C150" r:id="rId292" display="https://finance.yahoo.com/quote/SPY/options?strike=412&amp;straddle=false" xr:uid="{9F4EC893-46FD-445D-A525-89579E9F25A3}"/>
    <hyperlink ref="A151" r:id="rId293" display="https://finance.yahoo.com/quote/SPY211029P00413000?p=SPY211029P00413000" xr:uid="{C2757EAF-CB3D-4D02-9F7F-5AF2D5449CF9}"/>
    <hyperlink ref="C151" r:id="rId294" display="https://finance.yahoo.com/quote/SPY/options?strike=413&amp;straddle=false" xr:uid="{F2FF9247-85A7-42B9-AD66-38E35821A173}"/>
    <hyperlink ref="A152" r:id="rId295" display="https://finance.yahoo.com/quote/SPY211029P00414000?p=SPY211029P00414000" xr:uid="{A5502193-6158-4164-BCC8-2C9093DE712D}"/>
    <hyperlink ref="C152" r:id="rId296" display="https://finance.yahoo.com/quote/SPY/options?strike=414&amp;straddle=false" xr:uid="{279471AA-EBDA-4BE0-86D8-97A8304B07AE}"/>
    <hyperlink ref="A153" r:id="rId297" display="https://finance.yahoo.com/quote/SPY211029P00415000?p=SPY211029P00415000" xr:uid="{73B91526-89E7-46C7-B113-9229A37E88D3}"/>
    <hyperlink ref="C153" r:id="rId298" display="https://finance.yahoo.com/quote/SPY/options?strike=415&amp;straddle=false" xr:uid="{43CF5E93-DCEC-4E1B-A200-E79F58D8E4A3}"/>
    <hyperlink ref="A154" r:id="rId299" display="https://finance.yahoo.com/quote/SPY211029P00416000?p=SPY211029P00416000" xr:uid="{022246E7-F1F4-42FA-90C1-B0E9AA723C6C}"/>
    <hyperlink ref="C154" r:id="rId300" display="https://finance.yahoo.com/quote/SPY/options?strike=416&amp;straddle=false" xr:uid="{24379C43-F118-4FA7-8ED1-0BE9EF334F0C}"/>
    <hyperlink ref="A155" r:id="rId301" display="https://finance.yahoo.com/quote/SPY211029P00417000?p=SPY211029P00417000" xr:uid="{86C6BC39-F9E4-467F-8F1B-BCFF3963474D}"/>
    <hyperlink ref="C155" r:id="rId302" display="https://finance.yahoo.com/quote/SPY/options?strike=417&amp;straddle=false" xr:uid="{F58DFE81-17F9-43DE-850B-042935C0B9B0}"/>
    <hyperlink ref="A156" r:id="rId303" display="https://finance.yahoo.com/quote/SPY211029P00417500?p=SPY211029P00417500" xr:uid="{21FF9257-78B1-4C58-B75D-5469251010F5}"/>
    <hyperlink ref="C156" r:id="rId304" display="https://finance.yahoo.com/quote/SPY/options?strike=417.5&amp;straddle=false" xr:uid="{85323080-865D-4CB4-9C0B-11045ACB5BBA}"/>
    <hyperlink ref="A157" r:id="rId305" display="https://finance.yahoo.com/quote/SPY211029P00418000?p=SPY211029P00418000" xr:uid="{2E9C0F95-14FA-4E89-95D7-E05A5BD802B7}"/>
    <hyperlink ref="C157" r:id="rId306" display="https://finance.yahoo.com/quote/SPY/options?strike=418&amp;straddle=false" xr:uid="{BFFC7B8D-01F4-4BF8-B2D9-0F38BD9F6273}"/>
    <hyperlink ref="A158" r:id="rId307" display="https://finance.yahoo.com/quote/SPY211029P00419000?p=SPY211029P00419000" xr:uid="{15523F38-2DCF-42A8-9E4A-5D49F21EEEEC}"/>
    <hyperlink ref="C158" r:id="rId308" display="https://finance.yahoo.com/quote/SPY/options?strike=419&amp;straddle=false" xr:uid="{677CF98F-011F-47CE-B6AC-02FA77EFCBD0}"/>
    <hyperlink ref="A159" r:id="rId309" display="https://finance.yahoo.com/quote/SPY211029P00420000?p=SPY211029P00420000" xr:uid="{D98F8A21-958B-437E-B690-21F760473FD1}"/>
    <hyperlink ref="C159" r:id="rId310" display="https://finance.yahoo.com/quote/SPY/options?strike=420&amp;straddle=false" xr:uid="{8D876B35-7AFA-44C1-9BED-827DCAB07873}"/>
    <hyperlink ref="A160" r:id="rId311" display="https://finance.yahoo.com/quote/SPY211029P00421000?p=SPY211029P00421000" xr:uid="{8ECD4D1B-ED62-4B3E-96A7-6CBAE691C10F}"/>
    <hyperlink ref="C160" r:id="rId312" display="https://finance.yahoo.com/quote/SPY/options?strike=421&amp;straddle=false" xr:uid="{460E2F5D-9B05-463E-B7EA-DA86833A7ACF}"/>
    <hyperlink ref="A161" r:id="rId313" display="https://finance.yahoo.com/quote/SPY211029P00422000?p=SPY211029P00422000" xr:uid="{1A1C97EA-F1B9-4D1B-BF02-896C3DC074C5}"/>
    <hyperlink ref="C161" r:id="rId314" display="https://finance.yahoo.com/quote/SPY/options?strike=422&amp;straddle=false" xr:uid="{1C00F3A2-457E-4531-9FC7-37648264CECA}"/>
    <hyperlink ref="A162" r:id="rId315" display="https://finance.yahoo.com/quote/SPY211029P00422500?p=SPY211029P00422500" xr:uid="{647E814A-D817-417F-A065-B7366D547F3D}"/>
    <hyperlink ref="C162" r:id="rId316" display="https://finance.yahoo.com/quote/SPY/options?strike=422.5&amp;straddle=false" xr:uid="{4259B7B3-8EDC-4714-B61C-631ECD8E1541}"/>
    <hyperlink ref="A163" r:id="rId317" display="https://finance.yahoo.com/quote/SPY211029P00423000?p=SPY211029P00423000" xr:uid="{96B6F98F-3A6D-4263-BBD9-F89CA4D09627}"/>
    <hyperlink ref="C163" r:id="rId318" display="https://finance.yahoo.com/quote/SPY/options?strike=423&amp;straddle=false" xr:uid="{859247B0-DCAF-43AE-9077-80A261B7B28B}"/>
    <hyperlink ref="A164" r:id="rId319" display="https://finance.yahoo.com/quote/SPY211029P00424000?p=SPY211029P00424000" xr:uid="{6A20339E-B43E-4B18-A082-B247126F1997}"/>
    <hyperlink ref="C164" r:id="rId320" display="https://finance.yahoo.com/quote/SPY/options?strike=424&amp;straddle=false" xr:uid="{6943DE0D-44B8-49B2-A3F7-AA089689F3C7}"/>
    <hyperlink ref="A165" r:id="rId321" display="https://finance.yahoo.com/quote/SPY211029P00425000?p=SPY211029P00425000" xr:uid="{08988272-C0F2-44B0-B19C-3EDBA9D1F2BC}"/>
    <hyperlink ref="C165" r:id="rId322" display="https://finance.yahoo.com/quote/SPY/options?strike=425&amp;straddle=false" xr:uid="{1E8A5E96-5F3B-410A-9D2E-EF17654B0BD2}"/>
    <hyperlink ref="A166" r:id="rId323" display="https://finance.yahoo.com/quote/SPY211029P00426000?p=SPY211029P00426000" xr:uid="{839AB783-2AA3-4E05-BA30-6795CC9EF5BA}"/>
    <hyperlink ref="C166" r:id="rId324" display="https://finance.yahoo.com/quote/SPY/options?strike=426&amp;straddle=false" xr:uid="{C0C188F3-9AA6-45C9-B704-8FF41E39F3F3}"/>
    <hyperlink ref="A167" r:id="rId325" display="https://finance.yahoo.com/quote/SPY211029P00427000?p=SPY211029P00427000" xr:uid="{637E40C2-14A2-4941-91A4-2EB8A40A4687}"/>
    <hyperlink ref="C167" r:id="rId326" display="https://finance.yahoo.com/quote/SPY/options?strike=427&amp;straddle=false" xr:uid="{71900761-12EB-4002-B260-FBA4EA000122}"/>
    <hyperlink ref="A168" r:id="rId327" display="https://finance.yahoo.com/quote/SPY211029P00427500?p=SPY211029P00427500" xr:uid="{7E203ED5-9C50-4CC9-AFDC-810AE7D4513F}"/>
    <hyperlink ref="C168" r:id="rId328" display="https://finance.yahoo.com/quote/SPY/options?strike=427.5&amp;straddle=false" xr:uid="{5C79D793-A575-49B2-A8E1-396E3E46541D}"/>
    <hyperlink ref="A169" r:id="rId329" display="https://finance.yahoo.com/quote/SPY211029P00428000?p=SPY211029P00428000" xr:uid="{9241767E-FF43-4A28-BA19-9502A05CBA92}"/>
    <hyperlink ref="C169" r:id="rId330" display="https://finance.yahoo.com/quote/SPY/options?strike=428&amp;straddle=false" xr:uid="{C5EEBF36-F163-454D-8813-204BC9F84F51}"/>
    <hyperlink ref="A170" r:id="rId331" display="https://finance.yahoo.com/quote/SPY211029P00429000?p=SPY211029P00429000" xr:uid="{D98897A3-4701-471C-B8DF-581590D3CA3D}"/>
    <hyperlink ref="C170" r:id="rId332" display="https://finance.yahoo.com/quote/SPY/options?strike=429&amp;straddle=false" xr:uid="{FEAE0EF7-BDC6-4248-94B8-169E8D2BE95A}"/>
    <hyperlink ref="A171" r:id="rId333" display="https://finance.yahoo.com/quote/SPY211029P00430000?p=SPY211029P00430000" xr:uid="{BAF26A37-1111-4918-BBD2-F36984FAE66B}"/>
    <hyperlink ref="C171" r:id="rId334" display="https://finance.yahoo.com/quote/SPY/options?strike=430&amp;straddle=false" xr:uid="{CDBAA9B1-354A-44EC-B5B6-39BB9FF0D2BF}"/>
    <hyperlink ref="A172" r:id="rId335" display="https://finance.yahoo.com/quote/SPY211029P00431000?p=SPY211029P00431000" xr:uid="{6ACE88A2-B311-43AA-85F9-3161ED4E7B65}"/>
    <hyperlink ref="C172" r:id="rId336" display="https://finance.yahoo.com/quote/SPY/options?strike=431&amp;straddle=false" xr:uid="{E385F8FA-3971-4844-BFFA-DA6F3DF92859}"/>
    <hyperlink ref="A173" r:id="rId337" display="https://finance.yahoo.com/quote/SPY211029P00432000?p=SPY211029P00432000" xr:uid="{6C138F9B-D261-4EF6-AB55-CEF8E5AB2F21}"/>
    <hyperlink ref="C173" r:id="rId338" display="https://finance.yahoo.com/quote/SPY/options?strike=432&amp;straddle=false" xr:uid="{DA708B06-A584-4358-B7CA-7092DBB64B02}"/>
    <hyperlink ref="A174" r:id="rId339" display="https://finance.yahoo.com/quote/SPY211029P00432500?p=SPY211029P00432500" xr:uid="{9760B99A-4C56-4091-9332-FA28555BBBF0}"/>
    <hyperlink ref="C174" r:id="rId340" display="https://finance.yahoo.com/quote/SPY/options?strike=432.5&amp;straddle=false" xr:uid="{EAFACCC9-12F5-4E1F-B2A8-21C1F1ECA6A9}"/>
    <hyperlink ref="A175" r:id="rId341" display="https://finance.yahoo.com/quote/SPY211029P00433000?p=SPY211029P00433000" xr:uid="{193A2482-D627-46EE-90E2-46F723DDA140}"/>
    <hyperlink ref="C175" r:id="rId342" display="https://finance.yahoo.com/quote/SPY/options?strike=433&amp;straddle=false" xr:uid="{6AA446FD-B14A-407A-80C8-94F57A4ECE7B}"/>
    <hyperlink ref="A176" r:id="rId343" display="https://finance.yahoo.com/quote/SPY211029P00434000?p=SPY211029P00434000" xr:uid="{1495F09E-B4AD-4CD0-A72D-20A5F7A8FC38}"/>
    <hyperlink ref="C176" r:id="rId344" display="https://finance.yahoo.com/quote/SPY/options?strike=434&amp;straddle=false" xr:uid="{4C51194B-6B49-4B11-AFC2-B56DC843F389}"/>
    <hyperlink ref="A177" r:id="rId345" display="https://finance.yahoo.com/quote/SPY211029P00435000?p=SPY211029P00435000" xr:uid="{93136FD6-EDCD-4BF9-A627-12894323EBC9}"/>
    <hyperlink ref="C177" r:id="rId346" display="https://finance.yahoo.com/quote/SPY/options?strike=435&amp;straddle=false" xr:uid="{50C16C4A-FC94-4358-BD83-ECEDFFE0DFCC}"/>
    <hyperlink ref="A178" r:id="rId347" display="https://finance.yahoo.com/quote/SPY211029P00436000?p=SPY211029P00436000" xr:uid="{A3838D4D-B4EF-4320-AA59-B08D6A55867A}"/>
    <hyperlink ref="C178" r:id="rId348" display="https://finance.yahoo.com/quote/SPY/options?strike=436&amp;straddle=false" xr:uid="{A9FB2B6B-2FBA-4E92-8164-CAB08B43AA10}"/>
    <hyperlink ref="A179" r:id="rId349" display="https://finance.yahoo.com/quote/SPY211029P00437000?p=SPY211029P00437000" xr:uid="{C551232B-95A5-46ED-B7CC-18D1FFB46419}"/>
    <hyperlink ref="C179" r:id="rId350" display="https://finance.yahoo.com/quote/SPY/options?strike=437&amp;straddle=false" xr:uid="{1B9296CC-9E35-40DB-8CBB-5A4B7406E0CF}"/>
    <hyperlink ref="A180" r:id="rId351" display="https://finance.yahoo.com/quote/SPY211029P00437500?p=SPY211029P00437500" xr:uid="{3AC470E7-3D5C-47CE-B589-0ED0D4B719C5}"/>
    <hyperlink ref="C180" r:id="rId352" display="https://finance.yahoo.com/quote/SPY/options?strike=437.5&amp;straddle=false" xr:uid="{C31BABBF-7315-4B1F-888E-E351A487E3BC}"/>
    <hyperlink ref="A181" r:id="rId353" display="https://finance.yahoo.com/quote/SPY211029P00438000?p=SPY211029P00438000" xr:uid="{9FB1EC01-1ABC-4197-8479-B5CD1F62DF47}"/>
    <hyperlink ref="C181" r:id="rId354" display="https://finance.yahoo.com/quote/SPY/options?strike=438&amp;straddle=false" xr:uid="{9E36E041-AE76-4416-94C1-083D6EC706C7}"/>
    <hyperlink ref="A182" r:id="rId355" display="https://finance.yahoo.com/quote/SPY211029P00439000?p=SPY211029P00439000" xr:uid="{AB82583C-0041-48AE-9019-8EF612914169}"/>
    <hyperlink ref="C182" r:id="rId356" display="https://finance.yahoo.com/quote/SPY/options?strike=439&amp;straddle=false" xr:uid="{E51F1483-8B54-41C1-AE16-AFC0A7B61E3A}"/>
    <hyperlink ref="A183" r:id="rId357" display="https://finance.yahoo.com/quote/SPY211029P00440000?p=SPY211029P00440000" xr:uid="{33965DFD-D0BF-4773-B29E-88FB48FC6ADF}"/>
    <hyperlink ref="C183" r:id="rId358" display="https://finance.yahoo.com/quote/SPY/options?strike=440&amp;straddle=false" xr:uid="{6088140B-DEA6-49CD-8EB4-51171AB087AB}"/>
    <hyperlink ref="A184" r:id="rId359" display="https://finance.yahoo.com/quote/SPY211029P00441000?p=SPY211029P00441000" xr:uid="{1A318E0C-0268-43C1-9688-8D8E9BF7E1D2}"/>
    <hyperlink ref="C184" r:id="rId360" display="https://finance.yahoo.com/quote/SPY/options?strike=441&amp;straddle=false" xr:uid="{711FCA9F-DBCA-478A-9750-7CC56F80A262}"/>
    <hyperlink ref="A185" r:id="rId361" display="https://finance.yahoo.com/quote/SPY211029P00442000?p=SPY211029P00442000" xr:uid="{60A09A8E-5B6E-4903-ADAF-38E5D8703C33}"/>
    <hyperlink ref="C185" r:id="rId362" display="https://finance.yahoo.com/quote/SPY/options?strike=442&amp;straddle=false" xr:uid="{5E0D0012-8833-4C6D-9996-0A1165992347}"/>
    <hyperlink ref="A186" r:id="rId363" display="https://finance.yahoo.com/quote/SPY211029P00442500?p=SPY211029P00442500" xr:uid="{1BB3CF21-9136-4988-81F6-964E1DCBD44B}"/>
    <hyperlink ref="C186" r:id="rId364" display="https://finance.yahoo.com/quote/SPY/options?strike=442.5&amp;straddle=false" xr:uid="{D6946852-C37C-49F5-AEA5-33B2530437D2}"/>
    <hyperlink ref="A187" r:id="rId365" display="https://finance.yahoo.com/quote/SPY211029P00443000?p=SPY211029P00443000" xr:uid="{C3898712-342F-495F-BCD5-8B87BB61F731}"/>
    <hyperlink ref="C187" r:id="rId366" display="https://finance.yahoo.com/quote/SPY/options?strike=443&amp;straddle=false" xr:uid="{F0EE498D-1F1D-4E39-A025-19525614D0B6}"/>
    <hyperlink ref="A188" r:id="rId367" display="https://finance.yahoo.com/quote/SPY211029P00444000?p=SPY211029P00444000" xr:uid="{9D963B56-5AAD-48DB-96BB-958184DC2B6E}"/>
    <hyperlink ref="C188" r:id="rId368" display="https://finance.yahoo.com/quote/SPY/options?strike=444&amp;straddle=false" xr:uid="{6B1FFFF7-E6E1-4E8F-BB34-08A2231C4615}"/>
    <hyperlink ref="A189" r:id="rId369" display="https://finance.yahoo.com/quote/SPY211029P00445000?p=SPY211029P00445000" xr:uid="{C8795E4E-94ED-41C6-A1B5-988114C9F8CB}"/>
    <hyperlink ref="C189" r:id="rId370" display="https://finance.yahoo.com/quote/SPY/options?strike=445&amp;straddle=false" xr:uid="{5DE26CA8-2C47-43CF-A3DF-D2AEC588B7AE}"/>
    <hyperlink ref="A190" r:id="rId371" display="https://finance.yahoo.com/quote/SPY211029P00446000?p=SPY211029P00446000" xr:uid="{C2E0217A-EF1B-4394-AD5D-D04101DC3644}"/>
    <hyperlink ref="C190" r:id="rId372" display="https://finance.yahoo.com/quote/SPY/options?strike=446&amp;straddle=false" xr:uid="{3E33D33A-288F-4562-B29A-71EADE5A2CE8}"/>
    <hyperlink ref="A191" r:id="rId373" display="https://finance.yahoo.com/quote/SPY211029P00447000?p=SPY211029P00447000" xr:uid="{0281FBC5-C107-455B-AAEE-0F5D817CB4FF}"/>
    <hyperlink ref="C191" r:id="rId374" display="https://finance.yahoo.com/quote/SPY/options?strike=447&amp;straddle=false" xr:uid="{534B14E2-B311-461A-9FCB-A2276B5AFF07}"/>
    <hyperlink ref="A192" r:id="rId375" display="https://finance.yahoo.com/quote/SPY211029P00447500?p=SPY211029P00447500" xr:uid="{3218C05A-7C10-4060-A682-7EFAB6796212}"/>
    <hyperlink ref="C192" r:id="rId376" display="https://finance.yahoo.com/quote/SPY/options?strike=447.5&amp;straddle=false" xr:uid="{2923D698-A8B5-46EC-9979-C7889678B0F3}"/>
    <hyperlink ref="A193" r:id="rId377" display="https://finance.yahoo.com/quote/SPY211029P00448000?p=SPY211029P00448000" xr:uid="{1C1F53A5-A135-4C0B-8BA9-F99E90EE4592}"/>
    <hyperlink ref="C193" r:id="rId378" display="https://finance.yahoo.com/quote/SPY/options?strike=448&amp;straddle=false" xr:uid="{B8F359C7-A25E-4998-B5EC-5CADBC44B0E0}"/>
    <hyperlink ref="A194" r:id="rId379" display="https://finance.yahoo.com/quote/SPY211029P00449000?p=SPY211029P00449000" xr:uid="{FCB4EF6A-8077-4ACB-830E-03D7312E31A8}"/>
    <hyperlink ref="C194" r:id="rId380" display="https://finance.yahoo.com/quote/SPY/options?strike=449&amp;straddle=false" xr:uid="{8A2308DB-4367-42ED-A0FB-76A908D00004}"/>
    <hyperlink ref="A195" r:id="rId381" display="https://finance.yahoo.com/quote/SPY211029P00450000?p=SPY211029P00450000" xr:uid="{4F9391E2-B69E-42F9-B2DA-1A9807C403F0}"/>
    <hyperlink ref="C195" r:id="rId382" display="https://finance.yahoo.com/quote/SPY/options?strike=450&amp;straddle=false" xr:uid="{2A09774A-2524-4B7B-A5FB-063E55C040E8}"/>
    <hyperlink ref="A196" r:id="rId383" display="https://finance.yahoo.com/quote/SPY211029P00451000?p=SPY211029P00451000" xr:uid="{3516FB18-2759-44A7-826A-4A151E0EE06B}"/>
    <hyperlink ref="C196" r:id="rId384" display="https://finance.yahoo.com/quote/SPY/options?strike=451&amp;straddle=false" xr:uid="{90DCBE1A-BA1A-4CBC-9A5C-683CA23D41D5}"/>
    <hyperlink ref="A197" r:id="rId385" display="https://finance.yahoo.com/quote/SPY211029P00452000?p=SPY211029P00452000" xr:uid="{F97959A8-6D67-4F0B-BBA7-A6B01BBB6181}"/>
    <hyperlink ref="C197" r:id="rId386" display="https://finance.yahoo.com/quote/SPY/options?strike=452&amp;straddle=false" xr:uid="{31BCCB8B-C657-420D-9E18-A8CE8F30CFF1}"/>
    <hyperlink ref="A198" r:id="rId387" display="https://finance.yahoo.com/quote/SPY211029P00452500?p=SPY211029P00452500" xr:uid="{A092D9C3-90C8-4916-8EE6-DB15DB08BC2E}"/>
    <hyperlink ref="C198" r:id="rId388" display="https://finance.yahoo.com/quote/SPY/options?strike=452.5&amp;straddle=false" xr:uid="{9E962C4F-DB8E-4536-9D19-1B86333EF262}"/>
    <hyperlink ref="A199" r:id="rId389" display="https://finance.yahoo.com/quote/SPY211029P00453000?p=SPY211029P00453000" xr:uid="{F8A9AAA1-E187-4290-827A-7956A6F1CD41}"/>
    <hyperlink ref="C199" r:id="rId390" display="https://finance.yahoo.com/quote/SPY/options?strike=453&amp;straddle=false" xr:uid="{A810869D-5D77-4BE0-9FFD-3449097B3FC3}"/>
    <hyperlink ref="A200" r:id="rId391" display="https://finance.yahoo.com/quote/SPY211029P00454000?p=SPY211029P00454000" xr:uid="{D7FB1711-73DF-4F1E-B162-AAFA176EE4A2}"/>
    <hyperlink ref="C200" r:id="rId392" display="https://finance.yahoo.com/quote/SPY/options?strike=454&amp;straddle=false" xr:uid="{CF0C1FFA-850A-4ACC-8F3C-26B5FCFB1201}"/>
    <hyperlink ref="A201" r:id="rId393" display="https://finance.yahoo.com/quote/SPY211029P00455000?p=SPY211029P00455000" xr:uid="{18F8F18B-11A5-4228-94D4-F3A371CD0D3E}"/>
    <hyperlink ref="C201" r:id="rId394" display="https://finance.yahoo.com/quote/SPY/options?strike=455&amp;straddle=false" xr:uid="{DC1445A2-7573-4B55-8FAB-FD8EF529E452}"/>
    <hyperlink ref="A202" r:id="rId395" display="https://finance.yahoo.com/quote/SPY211029P00456000?p=SPY211029P00456000" xr:uid="{BDBA8957-14AD-4A99-8BB2-51DBE9304C57}"/>
    <hyperlink ref="C202" r:id="rId396" display="https://finance.yahoo.com/quote/SPY/options?strike=456&amp;straddle=false" xr:uid="{A84DC0A3-E8F5-4614-B2D5-D35BF5F9F7A8}"/>
    <hyperlink ref="A203" r:id="rId397" display="https://finance.yahoo.com/quote/SPY211029P00457000?p=SPY211029P00457000" xr:uid="{5CB64D35-1386-45CF-A914-F19CD2759778}"/>
    <hyperlink ref="C203" r:id="rId398" display="https://finance.yahoo.com/quote/SPY/options?strike=457&amp;straddle=false" xr:uid="{7D931544-DB01-40C5-B507-7674E8B48866}"/>
    <hyperlink ref="A204" r:id="rId399" display="https://finance.yahoo.com/quote/SPY211029P00457500?p=SPY211029P00457500" xr:uid="{524FEF2C-B9B3-4273-B0BF-3F7109728945}"/>
    <hyperlink ref="C204" r:id="rId400" display="https://finance.yahoo.com/quote/SPY/options?strike=457.5&amp;straddle=false" xr:uid="{5A216C15-B2C3-468A-B60C-7C8FC21AE448}"/>
    <hyperlink ref="A205" r:id="rId401" display="https://finance.yahoo.com/quote/SPY211029P00458000?p=SPY211029P00458000" xr:uid="{C853B50C-30AE-4E75-9074-8044139F5B20}"/>
    <hyperlink ref="C205" r:id="rId402" display="https://finance.yahoo.com/quote/SPY/options?strike=458&amp;straddle=false" xr:uid="{6E5EB513-9804-4DFD-9EDA-8829C8709272}"/>
    <hyperlink ref="A206" r:id="rId403" display="https://finance.yahoo.com/quote/SPY211029P00459000?p=SPY211029P00459000" xr:uid="{AA5C3F73-B65E-4593-82C5-701BA77668C2}"/>
    <hyperlink ref="C206" r:id="rId404" display="https://finance.yahoo.com/quote/SPY/options?strike=459&amp;straddle=false" xr:uid="{B6FBFAC4-1339-467B-9750-1C24DD492F40}"/>
    <hyperlink ref="A207" r:id="rId405" display="https://finance.yahoo.com/quote/SPY211029P00460000?p=SPY211029P00460000" xr:uid="{8CCA43C1-1A66-46C7-AA28-7CDE4B5B7B73}"/>
    <hyperlink ref="C207" r:id="rId406" display="https://finance.yahoo.com/quote/SPY/options?strike=460&amp;straddle=false" xr:uid="{C7B1E61B-732D-4563-A724-172FF4647C5E}"/>
    <hyperlink ref="A208" r:id="rId407" display="https://finance.yahoo.com/quote/SPY211029P00462000?p=SPY211029P00462000" xr:uid="{213B57EE-864F-45E2-9AAB-D82E82616060}"/>
    <hyperlink ref="C208" r:id="rId408" display="https://finance.yahoo.com/quote/SPY/options?strike=462&amp;straddle=false" xr:uid="{230E63DA-3667-4ACB-A6AD-BBA59721C2BD}"/>
    <hyperlink ref="A209" r:id="rId409" display="https://finance.yahoo.com/quote/SPY211029P00462500?p=SPY211029P00462500" xr:uid="{801E41BD-98FC-4E8E-91FE-1F8E45F5EACB}"/>
    <hyperlink ref="C209" r:id="rId410" display="https://finance.yahoo.com/quote/SPY/options?strike=462.5&amp;straddle=false" xr:uid="{63A43124-C950-49A7-BB51-9393BAEBE35F}"/>
    <hyperlink ref="A210" r:id="rId411" display="https://finance.yahoo.com/quote/SPY211029P00464000?p=SPY211029P00464000" xr:uid="{9F187581-ED39-4E2E-9D08-E6A92AF0F4A6}"/>
    <hyperlink ref="C210" r:id="rId412" display="https://finance.yahoo.com/quote/SPY/options?strike=464&amp;straddle=false" xr:uid="{2221BBCD-2F73-4F9D-8F80-DC64A97B417D}"/>
    <hyperlink ref="A211" r:id="rId413" display="https://finance.yahoo.com/quote/SPY211029P00465000?p=SPY211029P00465000" xr:uid="{91F8D500-5F80-4A61-ADF3-84B594041BE7}"/>
    <hyperlink ref="C211" r:id="rId414" display="https://finance.yahoo.com/quote/SPY/options?strike=465&amp;straddle=false" xr:uid="{384F870A-4EE3-4F6E-A4D7-B9ECA68AD594}"/>
    <hyperlink ref="A212" r:id="rId415" display="https://finance.yahoo.com/quote/SPY211029P00466000?p=SPY211029P00466000" xr:uid="{2ADEAE8C-256E-486B-9BCA-AF5A23577936}"/>
    <hyperlink ref="C212" r:id="rId416" display="https://finance.yahoo.com/quote/SPY/options?strike=466&amp;straddle=false" xr:uid="{CDF20555-B340-4C5E-8359-0D2C9D6D33AC}"/>
    <hyperlink ref="A213" r:id="rId417" display="https://finance.yahoo.com/quote/SPY211029P00467500?p=SPY211029P00467500" xr:uid="{A1638527-72E5-4827-9B80-73A6A1F5A2EF}"/>
    <hyperlink ref="C213" r:id="rId418" display="https://finance.yahoo.com/quote/SPY/options?strike=467.5&amp;straddle=false" xr:uid="{D63B68A0-BED6-46F7-98DB-9378C349C92C}"/>
    <hyperlink ref="A214" r:id="rId419" display="https://finance.yahoo.com/quote/SPY211029P00468000?p=SPY211029P00468000" xr:uid="{3C7B4C06-D1E3-49F9-AB36-90EBBA8DF446}"/>
    <hyperlink ref="C214" r:id="rId420" display="https://finance.yahoo.com/quote/SPY/options?strike=468&amp;straddle=false" xr:uid="{B7FBE9F5-5195-4AAF-A884-C993B118BA4C}"/>
    <hyperlink ref="A215" r:id="rId421" display="https://finance.yahoo.com/quote/SPY211029P00470000?p=SPY211029P00470000" xr:uid="{DD411999-C8AD-47F8-8575-9C219118808C}"/>
    <hyperlink ref="C215" r:id="rId422" display="https://finance.yahoo.com/quote/SPY/options?strike=470&amp;straddle=false" xr:uid="{5A59F015-4A7F-4547-85B4-5BD50543EA86}"/>
    <hyperlink ref="A216" r:id="rId423" display="https://finance.yahoo.com/quote/SPY211029P00480000?p=SPY211029P00480000" xr:uid="{64CA13CE-9068-402B-944D-6C44D02E9ABB}"/>
    <hyperlink ref="C216" r:id="rId424" display="https://finance.yahoo.com/quote/SPY/options?strike=480&amp;straddle=false" xr:uid="{0BF026AB-E97F-4386-8622-13F7FEA1DF31}"/>
    <hyperlink ref="A217" r:id="rId425" display="https://finance.yahoo.com/quote/SPY211029P00490000?p=SPY211029P00490000" xr:uid="{1BEB2C36-F30E-4B59-91E3-AE3C5C37B91A}"/>
    <hyperlink ref="C217" r:id="rId426" display="https://finance.yahoo.com/quote/SPY/options?strike=490&amp;straddle=false" xr:uid="{378BDD46-6F56-4C0B-9E5A-A8A99C9547EA}"/>
    <hyperlink ref="A218" r:id="rId427" display="https://finance.yahoo.com/quote/SPY211029P00500000?p=SPY211029P00500000" xr:uid="{5665E847-6BCB-4B90-BEAB-D63801191A95}"/>
    <hyperlink ref="C218" r:id="rId428" display="https://finance.yahoo.com/quote/SPY/options?strike=500&amp;straddle=false" xr:uid="{1006B249-E1D5-4E1E-847B-E95AF4993D5B}"/>
  </hyperlinks>
  <pageMargins left="0.7" right="0.7" top="0.75" bottom="0.75" header="0.3" footer="0.3"/>
  <pageSetup paperSize="9" orientation="portrait" r:id="rId429"/>
  <drawing r:id="rId43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8620-3BDF-4A3D-A171-43B37AE42936}">
  <dimension ref="A1:K54"/>
  <sheetViews>
    <sheetView topLeftCell="C1" workbookViewId="0">
      <pane ySplit="3" topLeftCell="A35" activePane="bottomLeft" state="frozen"/>
      <selection activeCell="D1" sqref="D1"/>
      <selection pane="bottomLeft" activeCell="M19" sqref="M19"/>
    </sheetView>
  </sheetViews>
  <sheetFormatPr defaultColWidth="9.1796875" defaultRowHeight="14.5" x14ac:dyDescent="0.35"/>
  <cols>
    <col min="1" max="1" width="32.7265625" style="1" customWidth="1"/>
    <col min="2" max="2" width="27.26953125" style="1" customWidth="1"/>
    <col min="3" max="11" width="15.453125" style="1" customWidth="1"/>
  </cols>
  <sheetData>
    <row r="1" spans="1:11" ht="15" customHeight="1" x14ac:dyDescent="0.35">
      <c r="A1" s="66" t="s">
        <v>358</v>
      </c>
      <c r="B1"/>
      <c r="C1"/>
      <c r="D1"/>
      <c r="E1"/>
      <c r="F1"/>
      <c r="G1"/>
      <c r="H1"/>
      <c r="I1"/>
      <c r="J1"/>
      <c r="K1"/>
    </row>
    <row r="2" spans="1:11" ht="15" customHeight="1" thickBot="1" x14ac:dyDescent="0.4">
      <c r="A2" s="67" t="s">
        <v>359</v>
      </c>
      <c r="B2" s="67"/>
      <c r="C2" s="67"/>
      <c r="D2" s="67"/>
      <c r="E2" s="67"/>
      <c r="F2" s="67"/>
      <c r="G2" s="67"/>
      <c r="H2" s="67"/>
      <c r="I2" s="67"/>
      <c r="J2" s="67"/>
      <c r="K2" s="67"/>
    </row>
    <row r="3" spans="1:11" ht="15" customHeight="1" thickBot="1" x14ac:dyDescent="0.4">
      <c r="A3" s="147" t="s">
        <v>0</v>
      </c>
      <c r="B3" s="140" t="s">
        <v>1</v>
      </c>
      <c r="C3" s="140" t="s">
        <v>22</v>
      </c>
      <c r="D3" s="140" t="s">
        <v>3</v>
      </c>
      <c r="E3" s="140" t="s">
        <v>4</v>
      </c>
      <c r="F3" s="140" t="s">
        <v>5</v>
      </c>
      <c r="G3" s="140" t="s">
        <v>6</v>
      </c>
      <c r="H3" s="140" t="s">
        <v>7</v>
      </c>
      <c r="I3" s="140" t="s">
        <v>8</v>
      </c>
      <c r="J3" s="140" t="s">
        <v>9</v>
      </c>
      <c r="K3" s="149" t="s">
        <v>10</v>
      </c>
    </row>
    <row r="4" spans="1:11" ht="15" customHeight="1" thickBot="1" x14ac:dyDescent="0.4">
      <c r="A4" s="114" t="s">
        <v>360</v>
      </c>
      <c r="B4" s="82" t="s">
        <v>87</v>
      </c>
      <c r="C4" s="103">
        <v>44461</v>
      </c>
      <c r="D4" s="88">
        <v>7.42</v>
      </c>
      <c r="E4" s="88">
        <v>7.4</v>
      </c>
      <c r="F4" s="88">
        <v>7.48</v>
      </c>
      <c r="G4" s="91">
        <v>-1.65</v>
      </c>
      <c r="H4" s="97">
        <v>-0.18190000000000001</v>
      </c>
      <c r="I4" s="83">
        <v>599</v>
      </c>
      <c r="J4" s="83">
        <v>2467</v>
      </c>
      <c r="K4" s="119">
        <v>0</v>
      </c>
    </row>
    <row r="5" spans="1:11" ht="15" customHeight="1" thickBot="1" x14ac:dyDescent="0.4">
      <c r="A5" s="115" t="s">
        <v>361</v>
      </c>
      <c r="B5" s="84" t="s">
        <v>362</v>
      </c>
      <c r="C5" s="104">
        <v>44463</v>
      </c>
      <c r="D5" s="89">
        <v>10.86</v>
      </c>
      <c r="E5" s="89">
        <v>8.57</v>
      </c>
      <c r="F5" s="89">
        <v>8.6199999999999992</v>
      </c>
      <c r="G5" s="95">
        <v>0.48</v>
      </c>
      <c r="H5" s="101">
        <v>4.6199999999999998E-2</v>
      </c>
      <c r="I5" s="85">
        <v>111</v>
      </c>
      <c r="J5" s="85">
        <v>237</v>
      </c>
      <c r="K5" s="120">
        <v>0.2306</v>
      </c>
    </row>
    <row r="6" spans="1:11" ht="15" customHeight="1" thickBot="1" x14ac:dyDescent="0.4">
      <c r="A6" s="116" t="s">
        <v>363</v>
      </c>
      <c r="B6" s="86" t="s">
        <v>80</v>
      </c>
      <c r="C6" s="105">
        <v>44466</v>
      </c>
      <c r="D6" s="90">
        <v>10.28</v>
      </c>
      <c r="E6" s="90">
        <v>9.24</v>
      </c>
      <c r="F6" s="90">
        <v>9.35</v>
      </c>
      <c r="G6" s="94">
        <v>1.56</v>
      </c>
      <c r="H6" s="100">
        <v>0.1789</v>
      </c>
      <c r="I6" s="87">
        <v>38</v>
      </c>
      <c r="J6" s="87">
        <v>93</v>
      </c>
      <c r="K6" s="121">
        <v>0.2072</v>
      </c>
    </row>
    <row r="7" spans="1:11" ht="15" customHeight="1" thickBot="1" x14ac:dyDescent="0.4">
      <c r="A7" s="115" t="s">
        <v>364</v>
      </c>
      <c r="B7" s="84" t="s">
        <v>365</v>
      </c>
      <c r="C7" s="104">
        <v>44468</v>
      </c>
      <c r="D7" s="89">
        <v>11.79</v>
      </c>
      <c r="E7" s="89">
        <v>10.119999999999999</v>
      </c>
      <c r="F7" s="89">
        <v>10.27</v>
      </c>
      <c r="G7" s="138">
        <v>0</v>
      </c>
      <c r="H7" s="139" t="s">
        <v>11</v>
      </c>
      <c r="I7" s="85">
        <v>53</v>
      </c>
      <c r="J7" s="85">
        <v>50</v>
      </c>
      <c r="K7" s="120">
        <v>0.2228</v>
      </c>
    </row>
    <row r="8" spans="1:11" ht="15" customHeight="1" thickBot="1" x14ac:dyDescent="0.4">
      <c r="A8" s="116" t="s">
        <v>366</v>
      </c>
      <c r="B8" s="86" t="s">
        <v>367</v>
      </c>
      <c r="C8" s="105">
        <v>44469</v>
      </c>
      <c r="D8" s="90">
        <v>11.41</v>
      </c>
      <c r="E8" s="90">
        <v>10.56</v>
      </c>
      <c r="F8" s="90">
        <v>10.69</v>
      </c>
      <c r="G8" s="93">
        <v>-0.41</v>
      </c>
      <c r="H8" s="99">
        <v>-3.4700000000000002E-2</v>
      </c>
      <c r="I8" s="87">
        <v>12</v>
      </c>
      <c r="J8" s="87">
        <v>114</v>
      </c>
      <c r="K8" s="121">
        <v>0.22789999999999999</v>
      </c>
    </row>
    <row r="9" spans="1:11" ht="15" customHeight="1" thickBot="1" x14ac:dyDescent="0.4">
      <c r="A9" s="115" t="s">
        <v>368</v>
      </c>
      <c r="B9" s="84" t="s">
        <v>369</v>
      </c>
      <c r="C9" s="104">
        <v>44470</v>
      </c>
      <c r="D9" s="89">
        <v>11.69</v>
      </c>
      <c r="E9" s="89">
        <v>10.92</v>
      </c>
      <c r="F9" s="89">
        <v>11.08</v>
      </c>
      <c r="G9" s="92">
        <v>-0.28000000000000003</v>
      </c>
      <c r="H9" s="98">
        <v>-2.3400000000000001E-2</v>
      </c>
      <c r="I9" s="85">
        <v>21</v>
      </c>
      <c r="J9" s="85">
        <v>211</v>
      </c>
      <c r="K9" s="120">
        <v>0.2316</v>
      </c>
    </row>
    <row r="10" spans="1:11" ht="15" customHeight="1" thickBot="1" x14ac:dyDescent="0.4">
      <c r="A10" s="116" t="s">
        <v>370</v>
      </c>
      <c r="B10" s="86" t="s">
        <v>371</v>
      </c>
      <c r="C10" s="105">
        <v>44473</v>
      </c>
      <c r="D10" s="90">
        <v>12.97</v>
      </c>
      <c r="E10" s="90">
        <v>11.32</v>
      </c>
      <c r="F10" s="90">
        <v>11.5</v>
      </c>
      <c r="G10" s="94">
        <v>1.2</v>
      </c>
      <c r="H10" s="100">
        <v>0.10199999999999999</v>
      </c>
      <c r="I10" s="87">
        <v>12</v>
      </c>
      <c r="J10" s="87">
        <v>182</v>
      </c>
      <c r="K10" s="121">
        <v>0.21740000000000001</v>
      </c>
    </row>
    <row r="11" spans="1:11" ht="15" customHeight="1" thickBot="1" x14ac:dyDescent="0.4">
      <c r="A11" s="115" t="s">
        <v>372</v>
      </c>
      <c r="B11" s="84" t="s">
        <v>373</v>
      </c>
      <c r="C11" s="104">
        <v>44477</v>
      </c>
      <c r="D11" s="89">
        <v>11.75</v>
      </c>
      <c r="E11" s="89">
        <v>12.49</v>
      </c>
      <c r="F11" s="89">
        <v>12.62</v>
      </c>
      <c r="G11" s="138">
        <v>0</v>
      </c>
      <c r="H11" s="139" t="s">
        <v>11</v>
      </c>
      <c r="I11" s="85">
        <v>213</v>
      </c>
      <c r="J11" s="85">
        <v>130</v>
      </c>
      <c r="K11" s="120">
        <v>0.22289999999999999</v>
      </c>
    </row>
    <row r="12" spans="1:11" ht="15" customHeight="1" thickBot="1" x14ac:dyDescent="0.4">
      <c r="A12" s="116" t="s">
        <v>374</v>
      </c>
      <c r="B12" s="86" t="s">
        <v>332</v>
      </c>
      <c r="C12" s="105">
        <v>44480</v>
      </c>
      <c r="D12" s="90">
        <v>13.69</v>
      </c>
      <c r="E12" s="90">
        <v>12.79</v>
      </c>
      <c r="F12" s="90">
        <v>12.95</v>
      </c>
      <c r="G12" s="94">
        <v>1.66</v>
      </c>
      <c r="H12" s="100">
        <v>0.13800000000000001</v>
      </c>
      <c r="I12" s="87">
        <v>6</v>
      </c>
      <c r="J12" s="87">
        <v>129</v>
      </c>
      <c r="K12" s="121">
        <v>0.21429999999999999</v>
      </c>
    </row>
    <row r="13" spans="1:11" ht="15" customHeight="1" thickBot="1" x14ac:dyDescent="0.4">
      <c r="A13" s="115" t="s">
        <v>375</v>
      </c>
      <c r="B13" s="84" t="s">
        <v>376</v>
      </c>
      <c r="C13" s="104">
        <v>44482</v>
      </c>
      <c r="D13" s="89">
        <v>14.79</v>
      </c>
      <c r="E13" s="89">
        <v>13.27</v>
      </c>
      <c r="F13" s="89">
        <v>13.34</v>
      </c>
      <c r="G13" s="95">
        <v>2.2999999999999998</v>
      </c>
      <c r="H13" s="101">
        <v>0.18410000000000001</v>
      </c>
      <c r="I13" s="85">
        <v>58</v>
      </c>
      <c r="J13" s="85">
        <v>221</v>
      </c>
      <c r="K13" s="120">
        <v>0.2142</v>
      </c>
    </row>
    <row r="14" spans="1:11" ht="15" customHeight="1" thickBot="1" x14ac:dyDescent="0.4">
      <c r="A14" s="116" t="s">
        <v>377</v>
      </c>
      <c r="B14" s="86" t="s">
        <v>224</v>
      </c>
      <c r="C14" s="105">
        <v>44484</v>
      </c>
      <c r="D14" s="90">
        <v>13.79</v>
      </c>
      <c r="E14" s="90">
        <v>13.72</v>
      </c>
      <c r="F14" s="90">
        <v>13.78</v>
      </c>
      <c r="G14" s="93">
        <v>-1.05</v>
      </c>
      <c r="H14" s="99">
        <v>-7.0800000000000002E-2</v>
      </c>
      <c r="I14" s="87">
        <v>308</v>
      </c>
      <c r="J14" s="87">
        <v>3098</v>
      </c>
      <c r="K14" s="121">
        <v>0.21560000000000001</v>
      </c>
    </row>
    <row r="15" spans="1:11" ht="15" customHeight="1" thickBot="1" x14ac:dyDescent="0.4">
      <c r="A15" s="115" t="s">
        <v>378</v>
      </c>
      <c r="B15" s="84" t="s">
        <v>336</v>
      </c>
      <c r="C15" s="104">
        <v>44487</v>
      </c>
      <c r="D15" s="89">
        <v>23.65</v>
      </c>
      <c r="E15" s="89">
        <v>13.95</v>
      </c>
      <c r="F15" s="89">
        <v>14.15</v>
      </c>
      <c r="G15" s="138">
        <v>0</v>
      </c>
      <c r="H15" s="139" t="s">
        <v>11</v>
      </c>
      <c r="I15" s="85" t="s">
        <v>11</v>
      </c>
      <c r="J15" s="85">
        <v>5</v>
      </c>
      <c r="K15" s="120">
        <v>0.21160000000000001</v>
      </c>
    </row>
    <row r="16" spans="1:11" ht="15" customHeight="1" thickBot="1" x14ac:dyDescent="0.4">
      <c r="A16" s="116" t="s">
        <v>379</v>
      </c>
      <c r="B16" s="86" t="s">
        <v>380</v>
      </c>
      <c r="C16" s="105">
        <v>44491</v>
      </c>
      <c r="D16" s="90">
        <v>15.91</v>
      </c>
      <c r="E16" s="90">
        <v>14.83</v>
      </c>
      <c r="F16" s="90">
        <v>14.9</v>
      </c>
      <c r="G16" s="94">
        <v>0.94</v>
      </c>
      <c r="H16" s="100">
        <v>6.2799999999999995E-2</v>
      </c>
      <c r="I16" s="87">
        <v>44</v>
      </c>
      <c r="J16" s="87">
        <v>29</v>
      </c>
      <c r="K16" s="121">
        <v>0.2132</v>
      </c>
    </row>
    <row r="17" spans="1:11" ht="15" customHeight="1" thickBot="1" x14ac:dyDescent="0.4">
      <c r="A17" s="115" t="s">
        <v>66</v>
      </c>
      <c r="B17" s="84" t="s">
        <v>65</v>
      </c>
      <c r="C17" s="104">
        <v>44498</v>
      </c>
      <c r="D17" s="89">
        <v>16.66</v>
      </c>
      <c r="E17" s="89">
        <v>15.8</v>
      </c>
      <c r="F17" s="89">
        <v>15.97</v>
      </c>
      <c r="G17" s="95">
        <v>0.41</v>
      </c>
      <c r="H17" s="101">
        <v>2.52E-2</v>
      </c>
      <c r="I17" s="85">
        <v>3</v>
      </c>
      <c r="J17" s="85">
        <v>143</v>
      </c>
      <c r="K17" s="120">
        <v>0.21260000000000001</v>
      </c>
    </row>
    <row r="18" spans="1:11" ht="15" customHeight="1" thickBot="1" x14ac:dyDescent="0.4">
      <c r="A18" s="116" t="s">
        <v>381</v>
      </c>
      <c r="B18" s="86" t="s">
        <v>84</v>
      </c>
      <c r="C18" s="105">
        <v>44519</v>
      </c>
      <c r="D18" s="90">
        <v>18.43</v>
      </c>
      <c r="E18" s="90">
        <v>18.47</v>
      </c>
      <c r="F18" s="90">
        <v>18.54</v>
      </c>
      <c r="G18" s="93">
        <v>-0.51</v>
      </c>
      <c r="H18" s="99">
        <v>-2.69E-2</v>
      </c>
      <c r="I18" s="87">
        <v>478</v>
      </c>
      <c r="J18" s="87">
        <v>2121</v>
      </c>
      <c r="K18" s="121">
        <v>0.20899999999999999</v>
      </c>
    </row>
    <row r="19" spans="1:11" ht="15" customHeight="1" thickBot="1" x14ac:dyDescent="0.4">
      <c r="A19" s="115" t="s">
        <v>382</v>
      </c>
      <c r="B19" s="84" t="s">
        <v>116</v>
      </c>
      <c r="C19" s="104">
        <v>44547</v>
      </c>
      <c r="D19" s="89">
        <v>22.17</v>
      </c>
      <c r="E19" s="89">
        <v>21.09</v>
      </c>
      <c r="F19" s="89">
        <v>21.14</v>
      </c>
      <c r="G19" s="95">
        <v>1.86</v>
      </c>
      <c r="H19" s="101">
        <v>9.1600000000000001E-2</v>
      </c>
      <c r="I19" s="85">
        <v>664</v>
      </c>
      <c r="J19" s="85">
        <v>1076</v>
      </c>
      <c r="K19" s="120">
        <v>0.20369999999999999</v>
      </c>
    </row>
    <row r="20" spans="1:11" ht="15" customHeight="1" thickBot="1" x14ac:dyDescent="0.4">
      <c r="A20" s="116" t="s">
        <v>383</v>
      </c>
      <c r="B20" s="86" t="s">
        <v>384</v>
      </c>
      <c r="C20" s="105">
        <v>44561</v>
      </c>
      <c r="D20" s="90">
        <v>23.29</v>
      </c>
      <c r="E20" s="90">
        <v>22.13</v>
      </c>
      <c r="F20" s="90">
        <v>22.19</v>
      </c>
      <c r="G20" s="93">
        <v>-5.46</v>
      </c>
      <c r="H20" s="99">
        <v>-0.18990000000000001</v>
      </c>
      <c r="I20" s="87">
        <v>65</v>
      </c>
      <c r="J20" s="87">
        <v>188</v>
      </c>
      <c r="K20" s="121">
        <v>0.2009</v>
      </c>
    </row>
    <row r="21" spans="1:11" ht="15" customHeight="1" thickBot="1" x14ac:dyDescent="0.4">
      <c r="A21" s="115" t="s">
        <v>385</v>
      </c>
      <c r="B21" s="84" t="s">
        <v>386</v>
      </c>
      <c r="C21" s="104">
        <v>44582</v>
      </c>
      <c r="D21" s="89">
        <v>25.41</v>
      </c>
      <c r="E21" s="89">
        <v>23.86</v>
      </c>
      <c r="F21" s="89">
        <v>23.92</v>
      </c>
      <c r="G21" s="95">
        <v>1.46</v>
      </c>
      <c r="H21" s="101">
        <v>6.0999999999999999E-2</v>
      </c>
      <c r="I21" s="85">
        <v>942</v>
      </c>
      <c r="J21" s="85">
        <v>3067</v>
      </c>
      <c r="K21" s="120">
        <v>0.20050000000000001</v>
      </c>
    </row>
    <row r="22" spans="1:11" ht="15" customHeight="1" thickBot="1" x14ac:dyDescent="0.4">
      <c r="A22" s="116" t="s">
        <v>387</v>
      </c>
      <c r="B22" s="86" t="s">
        <v>237</v>
      </c>
      <c r="C22" s="105">
        <v>44610</v>
      </c>
      <c r="D22" s="90">
        <v>29.01</v>
      </c>
      <c r="E22" s="90">
        <v>26.33</v>
      </c>
      <c r="F22" s="90">
        <v>26.44</v>
      </c>
      <c r="G22" s="94">
        <v>2.36</v>
      </c>
      <c r="H22" s="100">
        <v>8.8599999999999998E-2</v>
      </c>
      <c r="I22" s="87">
        <v>21</v>
      </c>
      <c r="J22" s="87">
        <v>1163</v>
      </c>
      <c r="K22" s="121">
        <v>0.20399999999999999</v>
      </c>
    </row>
    <row r="23" spans="1:11" ht="15" customHeight="1" thickBot="1" x14ac:dyDescent="0.4">
      <c r="A23" s="115" t="s">
        <v>388</v>
      </c>
      <c r="B23" s="84" t="s">
        <v>282</v>
      </c>
      <c r="C23" s="104">
        <v>44638</v>
      </c>
      <c r="D23" s="89">
        <v>29.56</v>
      </c>
      <c r="E23" s="89">
        <v>28.27</v>
      </c>
      <c r="F23" s="89">
        <v>28.5</v>
      </c>
      <c r="G23" s="95">
        <v>0.76</v>
      </c>
      <c r="H23" s="101">
        <v>2.64E-2</v>
      </c>
      <c r="I23" s="85">
        <v>3</v>
      </c>
      <c r="J23" s="85">
        <v>53</v>
      </c>
      <c r="K23" s="120">
        <v>0.20469999999999999</v>
      </c>
    </row>
    <row r="24" spans="1:11" ht="15" customHeight="1" thickBot="1" x14ac:dyDescent="0.4">
      <c r="A24" s="116" t="s">
        <v>389</v>
      </c>
      <c r="B24" s="86" t="s">
        <v>49</v>
      </c>
      <c r="C24" s="105">
        <v>44651</v>
      </c>
      <c r="D24" s="90">
        <v>31.34</v>
      </c>
      <c r="E24" s="90">
        <v>28.95</v>
      </c>
      <c r="F24" s="90">
        <v>29.36</v>
      </c>
      <c r="G24" s="96">
        <v>0</v>
      </c>
      <c r="H24" s="102" t="s">
        <v>11</v>
      </c>
      <c r="I24" s="87">
        <v>1</v>
      </c>
      <c r="J24" s="87">
        <v>30</v>
      </c>
      <c r="K24" s="121">
        <v>0.2046</v>
      </c>
    </row>
    <row r="25" spans="1:11" ht="15" customHeight="1" thickBot="1" x14ac:dyDescent="0.4">
      <c r="A25" s="115" t="s">
        <v>390</v>
      </c>
      <c r="B25" s="84" t="s">
        <v>391</v>
      </c>
      <c r="C25" s="104">
        <v>44729</v>
      </c>
      <c r="D25" s="89">
        <v>34.25</v>
      </c>
      <c r="E25" s="89">
        <v>33.79</v>
      </c>
      <c r="F25" s="89">
        <v>34.17</v>
      </c>
      <c r="G25" s="138">
        <v>0</v>
      </c>
      <c r="H25" s="139" t="s">
        <v>11</v>
      </c>
      <c r="I25" s="85">
        <v>2</v>
      </c>
      <c r="J25" s="85">
        <v>838</v>
      </c>
      <c r="K25" s="120">
        <v>0.20530000000000001</v>
      </c>
    </row>
    <row r="26" spans="1:11" ht="15" customHeight="1" thickBot="1" x14ac:dyDescent="0.4">
      <c r="A26" s="148" t="s">
        <v>392</v>
      </c>
      <c r="B26" s="141" t="s">
        <v>393</v>
      </c>
      <c r="C26" s="142">
        <v>44742</v>
      </c>
      <c r="D26" s="143">
        <v>39.89</v>
      </c>
      <c r="E26" s="143">
        <v>38.880000000000003</v>
      </c>
      <c r="F26" s="143">
        <v>39.659999999999997</v>
      </c>
      <c r="G26" s="144">
        <v>0</v>
      </c>
      <c r="H26" s="145" t="s">
        <v>11</v>
      </c>
      <c r="I26" s="146">
        <v>1</v>
      </c>
      <c r="J26" s="146">
        <v>0</v>
      </c>
      <c r="K26" s="150">
        <v>0.23730000000000001</v>
      </c>
    </row>
    <row r="27" spans="1:11" ht="15" customHeight="1" thickBot="1" x14ac:dyDescent="0.4">
      <c r="A27" s="67" t="s">
        <v>394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</row>
    <row r="28" spans="1:11" ht="15" customHeight="1" thickBot="1" x14ac:dyDescent="0.4">
      <c r="A28" s="147" t="s">
        <v>0</v>
      </c>
      <c r="B28" s="140" t="s">
        <v>1</v>
      </c>
      <c r="C28" s="140" t="s">
        <v>22</v>
      </c>
      <c r="D28" s="140" t="s">
        <v>3</v>
      </c>
      <c r="E28" s="140" t="s">
        <v>4</v>
      </c>
      <c r="F28" s="140" t="s">
        <v>5</v>
      </c>
      <c r="G28" s="140" t="s">
        <v>6</v>
      </c>
      <c r="H28" s="140" t="s">
        <v>7</v>
      </c>
      <c r="I28" s="140" t="s">
        <v>8</v>
      </c>
      <c r="J28" s="140" t="s">
        <v>9</v>
      </c>
      <c r="K28" s="149" t="s">
        <v>10</v>
      </c>
    </row>
    <row r="29" spans="1:11" ht="15" customHeight="1" thickBot="1" x14ac:dyDescent="0.4">
      <c r="A29" s="159" t="s">
        <v>395</v>
      </c>
      <c r="B29" s="151" t="s">
        <v>224</v>
      </c>
      <c r="C29" s="156">
        <v>44461</v>
      </c>
      <c r="D29" s="153">
        <v>0.52</v>
      </c>
      <c r="E29" s="153">
        <v>0.54</v>
      </c>
      <c r="F29" s="153">
        <v>0.55000000000000004</v>
      </c>
      <c r="G29" s="154">
        <v>-0.78</v>
      </c>
      <c r="H29" s="155">
        <v>-0.6</v>
      </c>
      <c r="I29" s="152">
        <v>18358</v>
      </c>
      <c r="J29" s="152">
        <v>6662</v>
      </c>
      <c r="K29" s="160">
        <v>0.32300000000000001</v>
      </c>
    </row>
    <row r="30" spans="1:11" ht="15" customHeight="1" thickBot="1" x14ac:dyDescent="0.4">
      <c r="A30" s="136" t="s">
        <v>396</v>
      </c>
      <c r="B30" s="130" t="s">
        <v>224</v>
      </c>
      <c r="C30" s="131">
        <v>44463</v>
      </c>
      <c r="D30" s="132">
        <v>1.72</v>
      </c>
      <c r="E30" s="132">
        <v>1.7</v>
      </c>
      <c r="F30" s="132">
        <v>1.72</v>
      </c>
      <c r="G30" s="157">
        <v>-0.6</v>
      </c>
      <c r="H30" s="158">
        <v>-0.2586</v>
      </c>
      <c r="I30" s="135">
        <v>6969</v>
      </c>
      <c r="J30" s="135">
        <v>6442</v>
      </c>
      <c r="K30" s="137">
        <v>0.29299999999999998</v>
      </c>
    </row>
    <row r="31" spans="1:11" ht="15" customHeight="1" thickBot="1" x14ac:dyDescent="0.4">
      <c r="A31" s="68" t="s">
        <v>397</v>
      </c>
      <c r="B31" s="69" t="s">
        <v>78</v>
      </c>
      <c r="C31" s="70">
        <v>44466</v>
      </c>
      <c r="D31" s="69">
        <v>1.95</v>
      </c>
      <c r="E31" s="69">
        <v>2.38</v>
      </c>
      <c r="F31" s="69">
        <v>2.4</v>
      </c>
      <c r="G31" s="71">
        <v>-0.7</v>
      </c>
      <c r="H31" s="72">
        <v>-0.26419999999999999</v>
      </c>
      <c r="I31" s="73">
        <v>1649</v>
      </c>
      <c r="J31" s="69">
        <v>823</v>
      </c>
      <c r="K31" s="74">
        <v>0.2445</v>
      </c>
    </row>
    <row r="32" spans="1:11" ht="15" customHeight="1" thickBot="1" x14ac:dyDescent="0.4">
      <c r="A32" s="50" t="s">
        <v>398</v>
      </c>
      <c r="B32" s="51" t="s">
        <v>224</v>
      </c>
      <c r="C32" s="60">
        <v>44468</v>
      </c>
      <c r="D32" s="51">
        <v>3.27</v>
      </c>
      <c r="E32" s="51">
        <v>3.26</v>
      </c>
      <c r="F32" s="51">
        <v>3.29</v>
      </c>
      <c r="G32" s="52">
        <v>-0.22</v>
      </c>
      <c r="H32" s="54">
        <v>-6.3E-2</v>
      </c>
      <c r="I32" s="51">
        <v>195</v>
      </c>
      <c r="J32" s="51">
        <v>578</v>
      </c>
      <c r="K32" s="53">
        <v>0.25190000000000001</v>
      </c>
    </row>
    <row r="33" spans="1:11" ht="15" customHeight="1" thickBot="1" x14ac:dyDescent="0.4">
      <c r="A33" s="50" t="s">
        <v>399</v>
      </c>
      <c r="B33" s="51" t="s">
        <v>164</v>
      </c>
      <c r="C33" s="60">
        <v>44469</v>
      </c>
      <c r="D33" s="51">
        <v>3.46</v>
      </c>
      <c r="E33" s="51">
        <v>3.68</v>
      </c>
      <c r="F33" s="51">
        <v>3.72</v>
      </c>
      <c r="G33" s="52">
        <v>-0.87</v>
      </c>
      <c r="H33" s="54">
        <v>-0.2009</v>
      </c>
      <c r="I33" s="51">
        <v>828</v>
      </c>
      <c r="J33" s="55">
        <v>5872</v>
      </c>
      <c r="K33" s="53">
        <v>0.25530000000000003</v>
      </c>
    </row>
    <row r="34" spans="1:11" ht="15" customHeight="1" thickBot="1" x14ac:dyDescent="0.4">
      <c r="A34" s="50" t="s">
        <v>400</v>
      </c>
      <c r="B34" s="51" t="s">
        <v>91</v>
      </c>
      <c r="C34" s="60">
        <v>44470</v>
      </c>
      <c r="D34" s="51">
        <v>3.87</v>
      </c>
      <c r="E34" s="51">
        <v>4.0599999999999996</v>
      </c>
      <c r="F34" s="51">
        <v>4.09</v>
      </c>
      <c r="G34" s="52">
        <v>-0.72</v>
      </c>
      <c r="H34" s="54">
        <v>-0.15690000000000001</v>
      </c>
      <c r="I34" s="55">
        <v>1915</v>
      </c>
      <c r="J34" s="55">
        <v>7362</v>
      </c>
      <c r="K34" s="53">
        <v>0.25650000000000001</v>
      </c>
    </row>
    <row r="35" spans="1:11" ht="15" customHeight="1" thickBot="1" x14ac:dyDescent="0.4">
      <c r="A35" s="50" t="s">
        <v>401</v>
      </c>
      <c r="B35" s="51" t="s">
        <v>224</v>
      </c>
      <c r="C35" s="60">
        <v>44473</v>
      </c>
      <c r="D35" s="51">
        <v>4.46</v>
      </c>
      <c r="E35" s="51">
        <v>4.45</v>
      </c>
      <c r="F35" s="51">
        <v>4.49</v>
      </c>
      <c r="G35" s="52">
        <v>-0.13</v>
      </c>
      <c r="H35" s="54">
        <v>-2.8299999999999999E-2</v>
      </c>
      <c r="I35" s="51">
        <v>414</v>
      </c>
      <c r="J35" s="51">
        <v>245</v>
      </c>
      <c r="K35" s="53">
        <v>0.23830000000000001</v>
      </c>
    </row>
    <row r="36" spans="1:11" ht="15" customHeight="1" thickBot="1" x14ac:dyDescent="0.4">
      <c r="A36" s="50" t="s">
        <v>402</v>
      </c>
      <c r="B36" s="51" t="s">
        <v>403</v>
      </c>
      <c r="C36" s="60">
        <v>44475</v>
      </c>
      <c r="D36" s="51">
        <v>4.4800000000000004</v>
      </c>
      <c r="E36" s="51">
        <v>5.04</v>
      </c>
      <c r="F36" s="51">
        <v>5.07</v>
      </c>
      <c r="G36" s="52">
        <v>-3.23</v>
      </c>
      <c r="H36" s="54">
        <v>-0.41889999999999999</v>
      </c>
      <c r="I36" s="51">
        <v>533</v>
      </c>
      <c r="J36" s="51">
        <v>429</v>
      </c>
      <c r="K36" s="53">
        <v>0.23980000000000001</v>
      </c>
    </row>
    <row r="37" spans="1:11" ht="15" customHeight="1" thickBot="1" x14ac:dyDescent="0.4">
      <c r="A37" s="50" t="s">
        <v>404</v>
      </c>
      <c r="B37" s="51" t="s">
        <v>405</v>
      </c>
      <c r="C37" s="60">
        <v>44477</v>
      </c>
      <c r="D37" s="51">
        <v>4.59</v>
      </c>
      <c r="E37" s="51">
        <v>5.57</v>
      </c>
      <c r="F37" s="51">
        <v>5.61</v>
      </c>
      <c r="G37" s="52">
        <v>-0.9</v>
      </c>
      <c r="H37" s="54">
        <v>-0.16389999999999999</v>
      </c>
      <c r="I37" s="51">
        <v>767</v>
      </c>
      <c r="J37" s="55">
        <v>1278</v>
      </c>
      <c r="K37" s="53">
        <v>0.2409</v>
      </c>
    </row>
    <row r="38" spans="1:11" ht="15" customHeight="1" thickBot="1" x14ac:dyDescent="0.4">
      <c r="A38" s="50" t="s">
        <v>406</v>
      </c>
      <c r="B38" s="51" t="s">
        <v>84</v>
      </c>
      <c r="C38" s="60">
        <v>44480</v>
      </c>
      <c r="D38" s="51">
        <v>5.88</v>
      </c>
      <c r="E38" s="51">
        <v>5.87</v>
      </c>
      <c r="F38" s="51">
        <v>5.91</v>
      </c>
      <c r="G38" s="52">
        <v>-2.27</v>
      </c>
      <c r="H38" s="54">
        <v>-0.27850000000000003</v>
      </c>
      <c r="I38" s="51">
        <v>62</v>
      </c>
      <c r="J38" s="51">
        <v>175</v>
      </c>
      <c r="K38" s="53">
        <v>0.22989999999999999</v>
      </c>
    </row>
    <row r="39" spans="1:11" ht="15" customHeight="1" thickBot="1" x14ac:dyDescent="0.4">
      <c r="A39" s="50" t="s">
        <v>407</v>
      </c>
      <c r="B39" s="51" t="s">
        <v>218</v>
      </c>
      <c r="C39" s="60">
        <v>44482</v>
      </c>
      <c r="D39" s="51">
        <v>5.24</v>
      </c>
      <c r="E39" s="51">
        <v>6.33</v>
      </c>
      <c r="F39" s="51">
        <v>6.38</v>
      </c>
      <c r="G39" s="52">
        <v>-3.38</v>
      </c>
      <c r="H39" s="54">
        <v>-0.3921</v>
      </c>
      <c r="I39" s="51">
        <v>27</v>
      </c>
      <c r="J39" s="51">
        <v>392</v>
      </c>
      <c r="K39" s="53">
        <v>0.23100000000000001</v>
      </c>
    </row>
    <row r="40" spans="1:11" ht="15" customHeight="1" thickBot="1" x14ac:dyDescent="0.4">
      <c r="A40" s="50" t="s">
        <v>408</v>
      </c>
      <c r="B40" s="51" t="s">
        <v>84</v>
      </c>
      <c r="C40" s="60">
        <v>44484</v>
      </c>
      <c r="D40" s="51">
        <v>6.86</v>
      </c>
      <c r="E40" s="51">
        <v>6.78</v>
      </c>
      <c r="F40" s="51">
        <v>6.81</v>
      </c>
      <c r="G40" s="56">
        <v>7.0000000000000007E-2</v>
      </c>
      <c r="H40" s="57">
        <v>1.03E-2</v>
      </c>
      <c r="I40" s="55">
        <v>4826</v>
      </c>
      <c r="J40" s="55">
        <v>10776</v>
      </c>
      <c r="K40" s="53">
        <v>0.23150000000000001</v>
      </c>
    </row>
    <row r="41" spans="1:11" ht="15" customHeight="1" thickBot="1" x14ac:dyDescent="0.4">
      <c r="A41" s="50" t="s">
        <v>409</v>
      </c>
      <c r="B41" s="51" t="s">
        <v>410</v>
      </c>
      <c r="C41" s="60">
        <v>44487</v>
      </c>
      <c r="D41" s="51">
        <v>6.45</v>
      </c>
      <c r="E41" s="51">
        <v>7.02</v>
      </c>
      <c r="F41" s="51">
        <v>7.09</v>
      </c>
      <c r="G41" s="52">
        <v>-0.77</v>
      </c>
      <c r="H41" s="54">
        <v>-0.1066</v>
      </c>
      <c r="I41" s="51">
        <v>9</v>
      </c>
      <c r="J41" s="51">
        <v>315</v>
      </c>
      <c r="K41" s="53">
        <v>0.22450000000000001</v>
      </c>
    </row>
    <row r="42" spans="1:11" ht="15" customHeight="1" thickBot="1" x14ac:dyDescent="0.4">
      <c r="A42" s="50" t="s">
        <v>411</v>
      </c>
      <c r="B42" s="51" t="s">
        <v>278</v>
      </c>
      <c r="C42" s="60">
        <v>44489</v>
      </c>
      <c r="D42" s="51">
        <v>6.82</v>
      </c>
      <c r="E42" s="51">
        <v>7.44</v>
      </c>
      <c r="F42" s="51">
        <v>7.5</v>
      </c>
      <c r="G42" s="52">
        <v>-1.3</v>
      </c>
      <c r="H42" s="54">
        <v>-0.16009999999999999</v>
      </c>
      <c r="I42" s="51">
        <v>38</v>
      </c>
      <c r="J42" s="51">
        <v>138</v>
      </c>
      <c r="K42" s="53">
        <v>0.22539999999999999</v>
      </c>
    </row>
    <row r="43" spans="1:11" ht="15" customHeight="1" thickBot="1" x14ac:dyDescent="0.4">
      <c r="A43" s="50" t="s">
        <v>412</v>
      </c>
      <c r="B43" s="51" t="s">
        <v>84</v>
      </c>
      <c r="C43" s="60">
        <v>44491</v>
      </c>
      <c r="D43" s="51">
        <v>7.85</v>
      </c>
      <c r="E43" s="51">
        <v>7.85</v>
      </c>
      <c r="F43" s="51">
        <v>7.9</v>
      </c>
      <c r="G43" s="56">
        <v>0.01</v>
      </c>
      <c r="H43" s="57">
        <v>1.2999999999999999E-3</v>
      </c>
      <c r="I43" s="51">
        <v>125</v>
      </c>
      <c r="J43" s="51">
        <v>465</v>
      </c>
      <c r="K43" s="53">
        <v>0.22639999999999999</v>
      </c>
    </row>
    <row r="44" spans="1:11" ht="15" customHeight="1" thickBot="1" x14ac:dyDescent="0.4">
      <c r="A44" s="50" t="s">
        <v>281</v>
      </c>
      <c r="B44" s="51" t="s">
        <v>282</v>
      </c>
      <c r="C44" s="60">
        <v>44498</v>
      </c>
      <c r="D44" s="51">
        <v>7.94</v>
      </c>
      <c r="E44" s="51">
        <v>8.85</v>
      </c>
      <c r="F44" s="51">
        <v>8.91</v>
      </c>
      <c r="G44" s="52">
        <v>-1.6</v>
      </c>
      <c r="H44" s="54">
        <v>-0.16769999999999999</v>
      </c>
      <c r="I44" s="51">
        <v>25</v>
      </c>
      <c r="J44" s="51">
        <v>502</v>
      </c>
      <c r="K44" s="53">
        <v>0.2233</v>
      </c>
    </row>
    <row r="45" spans="1:11" ht="15" customHeight="1" thickBot="1" x14ac:dyDescent="0.4">
      <c r="A45" s="50" t="s">
        <v>413</v>
      </c>
      <c r="B45" s="51" t="s">
        <v>91</v>
      </c>
      <c r="C45" s="60">
        <v>44519</v>
      </c>
      <c r="D45" s="51">
        <v>11.19</v>
      </c>
      <c r="E45" s="51">
        <v>11.4</v>
      </c>
      <c r="F45" s="51">
        <v>11.44</v>
      </c>
      <c r="G45" s="52">
        <v>-0.32</v>
      </c>
      <c r="H45" s="54">
        <v>-2.7799999999999998E-2</v>
      </c>
      <c r="I45" s="51">
        <v>356</v>
      </c>
      <c r="J45" s="55">
        <v>17752</v>
      </c>
      <c r="K45" s="53">
        <v>0.21690000000000001</v>
      </c>
    </row>
    <row r="46" spans="1:11" ht="15" customHeight="1" thickBot="1" x14ac:dyDescent="0.4">
      <c r="A46" s="50" t="s">
        <v>414</v>
      </c>
      <c r="B46" s="51" t="s">
        <v>415</v>
      </c>
      <c r="C46" s="60">
        <v>44547</v>
      </c>
      <c r="D46" s="51">
        <v>14.04</v>
      </c>
      <c r="E46" s="51">
        <v>14.69</v>
      </c>
      <c r="F46" s="51">
        <v>14.74</v>
      </c>
      <c r="G46" s="52">
        <v>-0.95</v>
      </c>
      <c r="H46" s="54">
        <v>-6.3399999999999998E-2</v>
      </c>
      <c r="I46" s="51">
        <v>658</v>
      </c>
      <c r="J46" s="55">
        <v>3390</v>
      </c>
      <c r="K46" s="53">
        <v>0.21879999999999999</v>
      </c>
    </row>
    <row r="47" spans="1:11" ht="15" customHeight="1" thickBot="1" x14ac:dyDescent="0.4">
      <c r="A47" s="50" t="s">
        <v>416</v>
      </c>
      <c r="B47" s="51" t="s">
        <v>91</v>
      </c>
      <c r="C47" s="60">
        <v>44561</v>
      </c>
      <c r="D47" s="51">
        <v>15.7</v>
      </c>
      <c r="E47" s="51">
        <v>15.9</v>
      </c>
      <c r="F47" s="51">
        <v>15.98</v>
      </c>
      <c r="G47" s="52">
        <v>-0.5</v>
      </c>
      <c r="H47" s="54">
        <v>-3.09E-2</v>
      </c>
      <c r="I47" s="55">
        <v>1825</v>
      </c>
      <c r="J47" s="55">
        <v>1923</v>
      </c>
      <c r="K47" s="53">
        <v>0.217</v>
      </c>
    </row>
    <row r="48" spans="1:11" ht="15" customHeight="1" thickBot="1" x14ac:dyDescent="0.4">
      <c r="A48" s="50" t="s">
        <v>417</v>
      </c>
      <c r="B48" s="51" t="s">
        <v>418</v>
      </c>
      <c r="C48" s="60">
        <v>44582</v>
      </c>
      <c r="D48" s="51">
        <v>17.11</v>
      </c>
      <c r="E48" s="51">
        <v>17.68</v>
      </c>
      <c r="F48" s="51">
        <v>17.739999999999998</v>
      </c>
      <c r="G48" s="52">
        <v>-0.91</v>
      </c>
      <c r="H48" s="54">
        <v>-5.0500000000000003E-2</v>
      </c>
      <c r="I48" s="51">
        <v>9</v>
      </c>
      <c r="J48" s="55">
        <v>12739</v>
      </c>
      <c r="K48" s="53">
        <v>0.2155</v>
      </c>
    </row>
    <row r="49" spans="1:11" ht="15" customHeight="1" thickBot="1" x14ac:dyDescent="0.4">
      <c r="A49" s="50" t="s">
        <v>419</v>
      </c>
      <c r="B49" s="51" t="s">
        <v>420</v>
      </c>
      <c r="C49" s="60">
        <v>44610</v>
      </c>
      <c r="D49" s="51">
        <v>18.95</v>
      </c>
      <c r="E49" s="51">
        <v>20.14</v>
      </c>
      <c r="F49" s="51">
        <v>20.21</v>
      </c>
      <c r="G49" s="52">
        <v>-2.92</v>
      </c>
      <c r="H49" s="54">
        <v>-0.13350000000000001</v>
      </c>
      <c r="I49" s="51">
        <v>5</v>
      </c>
      <c r="J49" s="51">
        <v>429</v>
      </c>
      <c r="K49" s="53">
        <v>0.217</v>
      </c>
    </row>
    <row r="50" spans="1:11" ht="15" customHeight="1" thickBot="1" x14ac:dyDescent="0.4">
      <c r="A50" s="50" t="s">
        <v>421</v>
      </c>
      <c r="B50" s="51" t="s">
        <v>422</v>
      </c>
      <c r="C50" s="60">
        <v>44638</v>
      </c>
      <c r="D50" s="51">
        <v>18.11</v>
      </c>
      <c r="E50" s="51">
        <v>22.52</v>
      </c>
      <c r="F50" s="51">
        <v>22.75</v>
      </c>
      <c r="G50" s="51">
        <v>0</v>
      </c>
      <c r="H50" s="51" t="s">
        <v>11</v>
      </c>
      <c r="I50" s="51">
        <v>1</v>
      </c>
      <c r="J50" s="55">
        <v>1936</v>
      </c>
      <c r="K50" s="53">
        <v>0.22070000000000001</v>
      </c>
    </row>
    <row r="51" spans="1:11" ht="15" customHeight="1" thickBot="1" x14ac:dyDescent="0.4">
      <c r="A51" s="50" t="s">
        <v>423</v>
      </c>
      <c r="B51" s="51" t="s">
        <v>424</v>
      </c>
      <c r="C51" s="60">
        <v>44651</v>
      </c>
      <c r="D51" s="51">
        <v>25.12</v>
      </c>
      <c r="E51" s="51">
        <v>23.34</v>
      </c>
      <c r="F51" s="51">
        <v>23.75</v>
      </c>
      <c r="G51" s="51">
        <v>0</v>
      </c>
      <c r="H51" s="51" t="s">
        <v>11</v>
      </c>
      <c r="I51" s="51">
        <v>2</v>
      </c>
      <c r="J51" s="51">
        <v>68</v>
      </c>
      <c r="K51" s="53">
        <v>0.22120000000000001</v>
      </c>
    </row>
    <row r="52" spans="1:11" ht="15" customHeight="1" thickBot="1" x14ac:dyDescent="0.4">
      <c r="A52" s="50" t="s">
        <v>425</v>
      </c>
      <c r="B52" s="51" t="s">
        <v>235</v>
      </c>
      <c r="C52" s="60">
        <v>44729</v>
      </c>
      <c r="D52" s="51">
        <v>31.58</v>
      </c>
      <c r="E52" s="51">
        <v>28.96</v>
      </c>
      <c r="F52" s="51">
        <v>29.3</v>
      </c>
      <c r="G52" s="51">
        <v>0</v>
      </c>
      <c r="H52" s="51" t="s">
        <v>11</v>
      </c>
      <c r="I52" s="51">
        <v>6</v>
      </c>
      <c r="J52" s="51">
        <v>489</v>
      </c>
      <c r="K52" s="53">
        <v>0.22450000000000001</v>
      </c>
    </row>
    <row r="53" spans="1:11" ht="15" customHeight="1" thickBot="1" x14ac:dyDescent="0.4">
      <c r="A53" s="50" t="s">
        <v>426</v>
      </c>
      <c r="B53" s="51" t="s">
        <v>427</v>
      </c>
      <c r="C53" s="60">
        <v>44742</v>
      </c>
      <c r="D53" s="51">
        <v>36.39</v>
      </c>
      <c r="E53" s="51">
        <v>29.51</v>
      </c>
      <c r="F53" s="51">
        <v>30.42</v>
      </c>
      <c r="G53" s="51">
        <v>0</v>
      </c>
      <c r="H53" s="51" t="s">
        <v>11</v>
      </c>
      <c r="I53" s="51">
        <v>202</v>
      </c>
      <c r="J53" s="51">
        <v>202</v>
      </c>
      <c r="K53" s="53">
        <v>0.22670000000000001</v>
      </c>
    </row>
    <row r="54" spans="1:11" ht="15" customHeight="1" x14ac:dyDescent="0.35">
      <c r="A54" s="61" t="s">
        <v>428</v>
      </c>
      <c r="B54" s="62" t="s">
        <v>429</v>
      </c>
      <c r="C54" s="63">
        <v>44820</v>
      </c>
      <c r="D54" s="62">
        <v>30.29</v>
      </c>
      <c r="E54" s="62">
        <v>34.43</v>
      </c>
      <c r="F54" s="62">
        <v>34.950000000000003</v>
      </c>
      <c r="G54" s="62">
        <v>0</v>
      </c>
      <c r="H54" s="62" t="s">
        <v>11</v>
      </c>
      <c r="I54" s="62" t="s">
        <v>11</v>
      </c>
      <c r="J54" s="62">
        <v>116</v>
      </c>
      <c r="K54" s="64">
        <v>0.22750000000000001</v>
      </c>
    </row>
  </sheetData>
  <hyperlinks>
    <hyperlink ref="A1" r:id="rId1" tooltip="Remove Strike Filtering" display="https://finance.yahoo.com/quote/SPY/options?straddle=false" xr:uid="{49733959-6BA8-4097-88BC-800F917C89FA}"/>
    <hyperlink ref="A4" r:id="rId2" display="https://finance.yahoo.com/quote/SPY210922C00426000?p=SPY210922C00426000" xr:uid="{ACC518E1-250F-458B-BE35-C8B226D3072C}"/>
    <hyperlink ref="C4" r:id="rId3" display="https://finance.yahoo.com/quote/SPY/options?date=1632268800&amp;straddle=false" xr:uid="{46B0123A-875E-4E1F-A7A5-B1FA2E040394}"/>
    <hyperlink ref="A5" r:id="rId4" display="https://finance.yahoo.com/quote/SPY210924C00426000?p=SPY210924C00426000" xr:uid="{9C3BB0DB-0508-4A6E-B1F6-747603D86A65}"/>
    <hyperlink ref="C5" r:id="rId5" display="https://finance.yahoo.com/quote/SPY/options?date=1632441600&amp;straddle=false" xr:uid="{99DDBA29-FBF6-45C7-A8A0-AF45EA8C8938}"/>
    <hyperlink ref="A6" r:id="rId6" display="https://finance.yahoo.com/quote/SPY210927C00426000?p=SPY210927C00426000" xr:uid="{DCBB562B-F0DD-490E-A60E-2450A58B0B7D}"/>
    <hyperlink ref="C6" r:id="rId7" display="https://finance.yahoo.com/quote/SPY/options?date=1632700800&amp;straddle=false" xr:uid="{A5460457-E805-4C37-97D7-047BF8D7823E}"/>
    <hyperlink ref="A7" r:id="rId8" display="https://finance.yahoo.com/quote/SPY210929C00426000?p=SPY210929C00426000" xr:uid="{7A790285-A908-48A8-B36B-7DCCB5D4DB74}"/>
    <hyperlink ref="C7" r:id="rId9" display="https://finance.yahoo.com/quote/SPY/options?date=1632873600&amp;straddle=false" xr:uid="{6EF75608-473E-4833-ACA3-0D35C68A12AE}"/>
    <hyperlink ref="A8" r:id="rId10" display="https://finance.yahoo.com/quote/SPY210930C00426000?p=SPY210930C00426000" xr:uid="{862C6559-FCAD-43BE-983F-57D3D871B221}"/>
    <hyperlink ref="C8" r:id="rId11" display="https://finance.yahoo.com/quote/SPY/options?date=1632960000&amp;straddle=false" xr:uid="{3C09C464-0DBA-4E34-A8D1-0FFD8F1F983D}"/>
    <hyperlink ref="A9" r:id="rId12" display="https://finance.yahoo.com/quote/SPY211001C00426000?p=SPY211001C00426000" xr:uid="{7DB5CAD4-542B-4C10-8723-F7FFC31363A1}"/>
    <hyperlink ref="C9" r:id="rId13" display="https://finance.yahoo.com/quote/SPY/options?date=1633046400&amp;straddle=false" xr:uid="{D614AD17-6E38-4ACC-B14E-3A4A5F8DF5D8}"/>
    <hyperlink ref="A10" r:id="rId14" display="https://finance.yahoo.com/quote/SPY211004C00426000?p=SPY211004C00426000" xr:uid="{DDD862D7-8E18-4682-9069-99E778F2F144}"/>
    <hyperlink ref="C10" r:id="rId15" display="https://finance.yahoo.com/quote/SPY/options?date=1633305600&amp;straddle=false" xr:uid="{9164A1DE-19D9-44EB-AB44-0FA8A70678B7}"/>
    <hyperlink ref="A11" r:id="rId16" display="https://finance.yahoo.com/quote/SPY211008C00426000?p=SPY211008C00426000" xr:uid="{2A7DEB32-81C6-4C9F-AD73-56FD75834B22}"/>
    <hyperlink ref="C11" r:id="rId17" display="https://finance.yahoo.com/quote/SPY/options?date=1633651200&amp;straddle=false" xr:uid="{485D85DC-85A3-41EC-BC96-9BE52D29C5AD}"/>
    <hyperlink ref="A12" r:id="rId18" display="https://finance.yahoo.com/quote/SPY211011C00426000?p=SPY211011C00426000" xr:uid="{54173E07-B0C0-4D59-A7C2-BAF236816D94}"/>
    <hyperlink ref="C12" r:id="rId19" display="https://finance.yahoo.com/quote/SPY/options?date=1633910400&amp;straddle=false" xr:uid="{EA628555-C0D5-4213-9AF5-60211BD594F0}"/>
    <hyperlink ref="A13" r:id="rId20" display="https://finance.yahoo.com/quote/SPY211013C00426000?p=SPY211013C00426000" xr:uid="{48CD2A19-7B87-4AB2-AD4C-10079F77F6FF}"/>
    <hyperlink ref="C13" r:id="rId21" display="https://finance.yahoo.com/quote/SPY/options?date=1634083200&amp;straddle=false" xr:uid="{8FA6E4BE-9DED-427E-8E11-9C302DB29286}"/>
    <hyperlink ref="A14" r:id="rId22" display="https://finance.yahoo.com/quote/SPY211015C00426000?p=SPY211015C00426000" xr:uid="{0A52118D-8FDE-49AD-BEBF-5F174525ABE5}"/>
    <hyperlink ref="C14" r:id="rId23" display="https://finance.yahoo.com/quote/SPY/options?date=1634256000&amp;straddle=false" xr:uid="{168BB479-8F80-4892-9EC5-0F90CB41248B}"/>
    <hyperlink ref="A15" r:id="rId24" display="https://finance.yahoo.com/quote/SPY211018C00426000?p=SPY211018C00426000" xr:uid="{14C310AA-22EE-4856-B0BC-B81D981A7341}"/>
    <hyperlink ref="C15" r:id="rId25" display="https://finance.yahoo.com/quote/SPY/options?date=1634515200&amp;straddle=false" xr:uid="{17C5BC52-8875-4B14-AF01-438A088AF11C}"/>
    <hyperlink ref="A16" r:id="rId26" display="https://finance.yahoo.com/quote/SPY211022C00426000?p=SPY211022C00426000" xr:uid="{24DC88F4-0CBD-4E7B-A881-14385564D55E}"/>
    <hyperlink ref="C16" r:id="rId27" display="https://finance.yahoo.com/quote/SPY/options?date=1634860800&amp;straddle=false" xr:uid="{BF0C5B75-A384-4A1E-9EF7-B250046D0E1B}"/>
    <hyperlink ref="A17" r:id="rId28" display="https://finance.yahoo.com/quote/SPY211029C00426000?p=SPY211029C00426000" xr:uid="{DBE63077-DA9E-4520-88AA-0B97520267D9}"/>
    <hyperlink ref="C17" r:id="rId29" display="https://finance.yahoo.com/quote/SPY/options?date=1635465600&amp;straddle=false" xr:uid="{1BAF3A6F-AC49-4FDB-9E9B-B69EDC4504A2}"/>
    <hyperlink ref="A18" r:id="rId30" display="https://finance.yahoo.com/quote/SPY211119C00426000?p=SPY211119C00426000" xr:uid="{778CCF6B-80EB-4B4F-AA1B-D4248FB323ED}"/>
    <hyperlink ref="C18" r:id="rId31" display="https://finance.yahoo.com/quote/SPY/options?date=1637280000&amp;straddle=false" xr:uid="{1B754A34-986B-46ED-A243-F837E8E2C62F}"/>
    <hyperlink ref="A19" r:id="rId32" display="https://finance.yahoo.com/quote/SPY211217C00426000?p=SPY211217C00426000" xr:uid="{5EBCD1A1-E126-4E19-9110-38CC787F5008}"/>
    <hyperlink ref="C19" r:id="rId33" display="https://finance.yahoo.com/quote/SPY/options?date=1639699200&amp;straddle=false" xr:uid="{C333896C-4367-4011-ABF0-7486FB02EAEF}"/>
    <hyperlink ref="A20" r:id="rId34" display="https://finance.yahoo.com/quote/SPY211231C00426000?p=SPY211231C00426000" xr:uid="{0F6A9C66-03F2-4EF4-BABF-03E3A9FD83DD}"/>
    <hyperlink ref="C20" r:id="rId35" display="https://finance.yahoo.com/quote/SPY/options?date=1640908800&amp;straddle=false" xr:uid="{7CD9D1AF-9E77-42EA-B6E8-80ED732B19C8}"/>
    <hyperlink ref="A21" r:id="rId36" display="https://finance.yahoo.com/quote/SPY220121C00426000?p=SPY220121C00426000" xr:uid="{8537D87E-8300-4EAE-A3E9-08C884278C49}"/>
    <hyperlink ref="C21" r:id="rId37" display="https://finance.yahoo.com/quote/SPY/options?date=1642723200&amp;straddle=false" xr:uid="{A33A8A94-53D6-4602-9F3E-D29F6AA859ED}"/>
    <hyperlink ref="A22" r:id="rId38" display="https://finance.yahoo.com/quote/SPY220218C00426000?p=SPY220218C00426000" xr:uid="{68A56A62-6B99-4074-8EA5-30FA06FD6936}"/>
    <hyperlink ref="C22" r:id="rId39" display="https://finance.yahoo.com/quote/SPY/options?date=1645142400&amp;straddle=false" xr:uid="{8BBAA772-BC32-40D0-9E19-AFB5DED29B4F}"/>
    <hyperlink ref="A23" r:id="rId40" display="https://finance.yahoo.com/quote/SPY220318C00426000?p=SPY220318C00426000" xr:uid="{3A83283E-845D-424A-8BF1-3DA99F083E5B}"/>
    <hyperlink ref="C23" r:id="rId41" display="https://finance.yahoo.com/quote/SPY/options?date=1647561600&amp;straddle=false" xr:uid="{4E80325B-A405-42B9-BAF3-F2DB9D731A50}"/>
    <hyperlink ref="A24" r:id="rId42" display="https://finance.yahoo.com/quote/SPY220331C00426000?p=SPY220331C00426000" xr:uid="{A553C28D-5F47-4DA7-8B7A-60D3A9F9D690}"/>
    <hyperlink ref="C24" r:id="rId43" display="https://finance.yahoo.com/quote/SPY/options?date=1648684800&amp;straddle=false" xr:uid="{6555A60E-8B8F-4439-9A0B-59416368004F}"/>
    <hyperlink ref="A25" r:id="rId44" display="https://finance.yahoo.com/quote/SPY220617C00426000?p=SPY220617C00426000" xr:uid="{1AB64B11-E982-4B75-9C17-83A8AB4C13CB}"/>
    <hyperlink ref="C25" r:id="rId45" display="https://finance.yahoo.com/quote/SPY/options?date=1655424000&amp;straddle=false" xr:uid="{3B713640-92C6-4875-A740-14111F18A82A}"/>
    <hyperlink ref="A26" r:id="rId46" display="https://finance.yahoo.com/quote/SPY220630C00426000?p=SPY220630C00426000" xr:uid="{7ABD1CA0-94E0-428E-A627-15D43724B170}"/>
    <hyperlink ref="C26" r:id="rId47" display="https://finance.yahoo.com/quote/SPY/options?date=1656547200&amp;straddle=false" xr:uid="{C50B37D6-A274-4EF1-869F-20FE7FBAC95A}"/>
    <hyperlink ref="A29" r:id="rId48" display="https://finance.yahoo.com/quote/SPY210922P00426000?p=SPY210922P00426000" xr:uid="{1AECE7AC-0A2A-4FAA-B6B6-4F8DF5C6FE86}"/>
    <hyperlink ref="C29" r:id="rId49" display="https://finance.yahoo.com/quote/SPY/options?date=1632268800&amp;straddle=false" xr:uid="{40B04971-06A2-4FFD-8AA4-F3E2077E6E93}"/>
    <hyperlink ref="A30" r:id="rId50" display="https://finance.yahoo.com/quote/SPY210924P00426000?p=SPY210924P00426000" xr:uid="{99CA40B9-2262-4A0D-994D-DEAFB11BFF2A}"/>
    <hyperlink ref="C30" r:id="rId51" display="https://finance.yahoo.com/quote/SPY/options?date=1632441600&amp;straddle=false" xr:uid="{B356AE06-F797-45D9-B10B-9C265224DD65}"/>
    <hyperlink ref="A31" r:id="rId52" display="https://finance.yahoo.com/quote/SPY210927P00426000?p=SPY210927P00426000" xr:uid="{C392B60B-510C-41A7-9C39-BD73AA29516F}"/>
    <hyperlink ref="C31" r:id="rId53" display="https://finance.yahoo.com/quote/SPY/options?date=1632700800&amp;straddle=false" xr:uid="{2626CC6B-3467-4959-92F5-C108B692684C}"/>
    <hyperlink ref="A32" r:id="rId54" display="https://finance.yahoo.com/quote/SPY210929P00426000?p=SPY210929P00426000" xr:uid="{AAF0DDA7-F060-4C7B-A269-FE38B13BC064}"/>
    <hyperlink ref="C32" r:id="rId55" display="https://finance.yahoo.com/quote/SPY/options?date=1632873600&amp;straddle=false" xr:uid="{F427334F-703A-4E7D-AB12-4FB1E8995839}"/>
    <hyperlink ref="A33" r:id="rId56" display="https://finance.yahoo.com/quote/SPY210930P00426000?p=SPY210930P00426000" xr:uid="{3D1330E7-B3D8-48D8-AC84-06C300F38F8E}"/>
    <hyperlink ref="C33" r:id="rId57" display="https://finance.yahoo.com/quote/SPY/options?date=1632960000&amp;straddle=false" xr:uid="{788F355D-68E6-4A7D-9CD0-885C30CBB379}"/>
    <hyperlink ref="A34" r:id="rId58" display="https://finance.yahoo.com/quote/SPY211001P00426000?p=SPY211001P00426000" xr:uid="{1066524B-3927-4F27-B190-D37C011523E4}"/>
    <hyperlink ref="C34" r:id="rId59" display="https://finance.yahoo.com/quote/SPY/options?date=1633046400&amp;straddle=false" xr:uid="{8F19705F-FA3C-4F96-8443-920FA8DAEC5F}"/>
    <hyperlink ref="A35" r:id="rId60" display="https://finance.yahoo.com/quote/SPY211004P00426000?p=SPY211004P00426000" xr:uid="{BD76FE00-A25D-4919-9B3B-0734ADF66F46}"/>
    <hyperlink ref="C35" r:id="rId61" display="https://finance.yahoo.com/quote/SPY/options?date=1633305600&amp;straddle=false" xr:uid="{C2368A10-B066-457C-A77F-77E193A59A87}"/>
    <hyperlink ref="A36" r:id="rId62" display="https://finance.yahoo.com/quote/SPY211006P00426000?p=SPY211006P00426000" xr:uid="{B0F0BF1A-5BAE-4A5F-9CC2-CA24BE93291F}"/>
    <hyperlink ref="C36" r:id="rId63" display="https://finance.yahoo.com/quote/SPY/options?date=1633478400&amp;straddle=false" xr:uid="{28FAE433-4522-4AB7-BD00-54B9ABF0CCFA}"/>
    <hyperlink ref="A37" r:id="rId64" display="https://finance.yahoo.com/quote/SPY211008P00426000?p=SPY211008P00426000" xr:uid="{AB016434-4797-4B92-AF8E-B3BD34B0423B}"/>
    <hyperlink ref="C37" r:id="rId65" display="https://finance.yahoo.com/quote/SPY/options?date=1633651200&amp;straddle=false" xr:uid="{F9251607-A7E0-4292-BA33-C44DD4AF9839}"/>
    <hyperlink ref="A38" r:id="rId66" display="https://finance.yahoo.com/quote/SPY211011P00426000?p=SPY211011P00426000" xr:uid="{254E0863-3B70-4E59-9918-88952E81D533}"/>
    <hyperlink ref="C38" r:id="rId67" display="https://finance.yahoo.com/quote/SPY/options?date=1633910400&amp;straddle=false" xr:uid="{AF0B6051-702A-46D2-8357-81A973131BC7}"/>
    <hyperlink ref="A39" r:id="rId68" display="https://finance.yahoo.com/quote/SPY211013P00426000?p=SPY211013P00426000" xr:uid="{5F2454F7-330B-4B2F-8200-9B6D320802E3}"/>
    <hyperlink ref="C39" r:id="rId69" display="https://finance.yahoo.com/quote/SPY/options?date=1634083200&amp;straddle=false" xr:uid="{C8F95C16-9920-4148-94F4-45574824010B}"/>
    <hyperlink ref="A40" r:id="rId70" display="https://finance.yahoo.com/quote/SPY211015P00426000?p=SPY211015P00426000" xr:uid="{205EBEF2-03BF-46B6-A4E2-9617AB8A3C54}"/>
    <hyperlink ref="C40" r:id="rId71" display="https://finance.yahoo.com/quote/SPY/options?date=1634256000&amp;straddle=false" xr:uid="{010F1E8D-065F-4DC6-B483-C1B6B3B440FF}"/>
    <hyperlink ref="A41" r:id="rId72" display="https://finance.yahoo.com/quote/SPY211018P00426000?p=SPY211018P00426000" xr:uid="{5AEC3011-FCBD-4D69-9022-D5CB6957CE15}"/>
    <hyperlink ref="C41" r:id="rId73" display="https://finance.yahoo.com/quote/SPY/options?date=1634515200&amp;straddle=false" xr:uid="{3FEFC2A8-EA92-4187-A046-DCAE9C45D722}"/>
    <hyperlink ref="A42" r:id="rId74" display="https://finance.yahoo.com/quote/SPY211020P00426000?p=SPY211020P00426000" xr:uid="{35A2FC4E-D751-4B42-B16A-8EA26C96DE02}"/>
    <hyperlink ref="C42" r:id="rId75" display="https://finance.yahoo.com/quote/SPY/options?date=1634688000&amp;straddle=false" xr:uid="{E9864D24-DFF9-4B5B-BCEA-4C4210665762}"/>
    <hyperlink ref="A43" r:id="rId76" display="https://finance.yahoo.com/quote/SPY211022P00426000?p=SPY211022P00426000" xr:uid="{748985E6-57F4-4E8C-A12F-E5C8CF92649B}"/>
    <hyperlink ref="C43" r:id="rId77" display="https://finance.yahoo.com/quote/SPY/options?date=1634860800&amp;straddle=false" xr:uid="{DA2F5FEA-7C44-4A1E-99CB-8E940EE9EA7E}"/>
    <hyperlink ref="A44" r:id="rId78" display="https://finance.yahoo.com/quote/SPY211029P00426000?p=SPY211029P00426000" xr:uid="{2153CB00-30EF-476C-84F1-EC3C206E19AD}"/>
    <hyperlink ref="C44" r:id="rId79" display="https://finance.yahoo.com/quote/SPY/options?date=1635465600&amp;straddle=false" xr:uid="{E001CF27-8581-4527-AB33-8CD087232240}"/>
    <hyperlink ref="A45" r:id="rId80" display="https://finance.yahoo.com/quote/SPY211119P00426000?p=SPY211119P00426000" xr:uid="{675D240B-6CBD-469B-8A5A-37FB641418FE}"/>
    <hyperlink ref="C45" r:id="rId81" display="https://finance.yahoo.com/quote/SPY/options?date=1637280000&amp;straddle=false" xr:uid="{D8BA0A17-1685-4E0C-AF07-237D7BD669BB}"/>
    <hyperlink ref="A46" r:id="rId82" display="https://finance.yahoo.com/quote/SPY211217P00426000?p=SPY211217P00426000" xr:uid="{627B2443-3E6E-44DD-A205-1EA9B504672C}"/>
    <hyperlink ref="C46" r:id="rId83" display="https://finance.yahoo.com/quote/SPY/options?date=1639699200&amp;straddle=false" xr:uid="{74229E4D-D5C8-4332-9C98-1DEB9D44E6F8}"/>
    <hyperlink ref="A47" r:id="rId84" display="https://finance.yahoo.com/quote/SPY211231P00426000?p=SPY211231P00426000" xr:uid="{0D20B8DE-3D16-40C3-A687-3789115B53E9}"/>
    <hyperlink ref="C47" r:id="rId85" display="https://finance.yahoo.com/quote/SPY/options?date=1640908800&amp;straddle=false" xr:uid="{30696E78-9827-4FDC-A7E5-BB3C855953B1}"/>
    <hyperlink ref="A48" r:id="rId86" display="https://finance.yahoo.com/quote/SPY220121P00426000?p=SPY220121P00426000" xr:uid="{3F6D2C8D-9894-42EE-9FD5-D89C711D6C95}"/>
    <hyperlink ref="C48" r:id="rId87" display="https://finance.yahoo.com/quote/SPY/options?date=1642723200&amp;straddle=false" xr:uid="{B6128A8A-C9CA-4FC8-B3E3-76DB586BC8BC}"/>
    <hyperlink ref="A49" r:id="rId88" display="https://finance.yahoo.com/quote/SPY220218P00426000?p=SPY220218P00426000" xr:uid="{A9D3A5EA-D248-4894-AE61-2FF48C4A96D4}"/>
    <hyperlink ref="C49" r:id="rId89" display="https://finance.yahoo.com/quote/SPY/options?date=1645142400&amp;straddle=false" xr:uid="{6CFFD9C0-0AAD-4936-BFED-1B2AAD8D5B8D}"/>
    <hyperlink ref="A50" r:id="rId90" display="https://finance.yahoo.com/quote/SPY220318P00426000?p=SPY220318P00426000" xr:uid="{AFAC4B91-A915-408F-8BEF-389DEF64B641}"/>
    <hyperlink ref="C50" r:id="rId91" display="https://finance.yahoo.com/quote/SPY/options?date=1647561600&amp;straddle=false" xr:uid="{A79E83C8-60BE-436D-85A4-C3C496191919}"/>
    <hyperlink ref="A51" r:id="rId92" display="https://finance.yahoo.com/quote/SPY220331P00426000?p=SPY220331P00426000" xr:uid="{9A6A6BA5-8B0A-4451-A17F-CD12A6788E68}"/>
    <hyperlink ref="C51" r:id="rId93" display="https://finance.yahoo.com/quote/SPY/options?date=1648684800&amp;straddle=false" xr:uid="{AA5A7D6B-68EE-42E5-A5B4-A049B6E4A1F0}"/>
    <hyperlink ref="A52" r:id="rId94" display="https://finance.yahoo.com/quote/SPY220617P00426000?p=SPY220617P00426000" xr:uid="{C05DD6D3-31BC-4DAE-8819-E93D45D23C2C}"/>
    <hyperlink ref="C52" r:id="rId95" display="https://finance.yahoo.com/quote/SPY/options?date=1655424000&amp;straddle=false" xr:uid="{1640C831-69C9-44C0-9BEF-544D9C5F511E}"/>
    <hyperlink ref="A53" r:id="rId96" display="https://finance.yahoo.com/quote/SPY220630P00426000?p=SPY220630P00426000" xr:uid="{B5B063DF-3205-410E-8C91-61B8B3122A40}"/>
    <hyperlink ref="C53" r:id="rId97" display="https://finance.yahoo.com/quote/SPY/options?date=1656547200&amp;straddle=false" xr:uid="{4E0C2238-0495-4A79-8C5A-05C0CA20317B}"/>
    <hyperlink ref="A54" r:id="rId98" display="https://finance.yahoo.com/quote/SPY220916P00426000?p=SPY220916P00426000" xr:uid="{28D0D455-0676-4696-BD36-B7E102D65F1F}"/>
    <hyperlink ref="C54" r:id="rId99" display="https://finance.yahoo.com/quote/SPY/options?date=1663286400&amp;straddle=false" xr:uid="{5E867775-38AC-4542-9E2C-47BC0972B59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277C-68A5-4CD9-A47C-9D6A77E25749}">
  <dimension ref="A1:K71"/>
  <sheetViews>
    <sheetView topLeftCell="I1" zoomScale="64" workbookViewId="0">
      <pane ySplit="3" topLeftCell="A6" activePane="bottomLeft" state="frozen"/>
      <selection activeCell="I1" sqref="I1"/>
      <selection pane="bottomLeft" activeCell="Z37" sqref="Z23:AA37"/>
    </sheetView>
  </sheetViews>
  <sheetFormatPr defaultColWidth="9.1796875" defaultRowHeight="14.5" x14ac:dyDescent="0.35"/>
  <cols>
    <col min="1" max="1" width="32.7265625" style="1" customWidth="1"/>
    <col min="2" max="2" width="27.26953125" style="1" customWidth="1"/>
    <col min="3" max="11" width="15.453125" style="1" customWidth="1"/>
  </cols>
  <sheetData>
    <row r="1" spans="1:11" ht="18.5" x14ac:dyDescent="0.35">
      <c r="A1" s="66" t="s">
        <v>430</v>
      </c>
      <c r="B1"/>
      <c r="C1"/>
      <c r="D1"/>
      <c r="E1"/>
      <c r="F1"/>
      <c r="G1"/>
      <c r="H1"/>
      <c r="I1"/>
      <c r="J1"/>
      <c r="K1"/>
    </row>
    <row r="2" spans="1:11" ht="16" thickBot="1" x14ac:dyDescent="0.4">
      <c r="A2" s="67" t="s">
        <v>359</v>
      </c>
      <c r="B2" s="67"/>
      <c r="C2" s="67"/>
      <c r="D2" s="67"/>
      <c r="E2" s="67"/>
      <c r="F2" s="67"/>
      <c r="G2" s="67"/>
      <c r="H2" s="67"/>
      <c r="I2" s="67"/>
      <c r="J2" s="67"/>
      <c r="K2" s="67"/>
    </row>
    <row r="3" spans="1:11" ht="15" thickBot="1" x14ac:dyDescent="0.4">
      <c r="A3" s="147" t="s">
        <v>0</v>
      </c>
      <c r="B3" s="140" t="s">
        <v>1</v>
      </c>
      <c r="C3" s="140" t="s">
        <v>22</v>
      </c>
      <c r="D3" s="140" t="s">
        <v>3</v>
      </c>
      <c r="E3" s="140" t="s">
        <v>4</v>
      </c>
      <c r="F3" s="140" t="s">
        <v>5</v>
      </c>
      <c r="G3" s="140" t="s">
        <v>6</v>
      </c>
      <c r="H3" s="140" t="s">
        <v>7</v>
      </c>
      <c r="I3" s="140" t="s">
        <v>8</v>
      </c>
      <c r="J3" s="140" t="s">
        <v>9</v>
      </c>
      <c r="K3" s="149" t="s">
        <v>10</v>
      </c>
    </row>
    <row r="4" spans="1:11" ht="15" thickBot="1" x14ac:dyDescent="0.4">
      <c r="A4" s="114" t="s">
        <v>431</v>
      </c>
      <c r="B4" s="82" t="s">
        <v>432</v>
      </c>
      <c r="C4" s="103">
        <v>44461</v>
      </c>
      <c r="D4" s="88">
        <v>4.2</v>
      </c>
      <c r="E4" s="88">
        <v>4.16</v>
      </c>
      <c r="F4" s="88">
        <v>4.2</v>
      </c>
      <c r="G4" s="91">
        <v>-1.4</v>
      </c>
      <c r="H4" s="97">
        <v>-0.25</v>
      </c>
      <c r="I4" s="83">
        <v>3673</v>
      </c>
      <c r="J4" s="83">
        <v>4395</v>
      </c>
      <c r="K4" s="119">
        <v>0.2046</v>
      </c>
    </row>
    <row r="5" spans="1:11" ht="15" thickBot="1" x14ac:dyDescent="0.4">
      <c r="A5" s="115" t="s">
        <v>433</v>
      </c>
      <c r="B5" s="84" t="s">
        <v>110</v>
      </c>
      <c r="C5" s="104">
        <v>44463</v>
      </c>
      <c r="D5" s="89">
        <v>5.49</v>
      </c>
      <c r="E5" s="89">
        <v>5.61</v>
      </c>
      <c r="F5" s="89">
        <v>5.69</v>
      </c>
      <c r="G5" s="92">
        <v>-1.36</v>
      </c>
      <c r="H5" s="98">
        <v>-0.19850000000000001</v>
      </c>
      <c r="I5" s="85">
        <v>3380</v>
      </c>
      <c r="J5" s="85">
        <v>3465</v>
      </c>
      <c r="K5" s="120">
        <v>0.2296</v>
      </c>
    </row>
    <row r="6" spans="1:11" ht="15" thickBot="1" x14ac:dyDescent="0.4">
      <c r="A6" s="116" t="s">
        <v>434</v>
      </c>
      <c r="B6" s="86" t="s">
        <v>110</v>
      </c>
      <c r="C6" s="105">
        <v>44466</v>
      </c>
      <c r="D6" s="90">
        <v>6.22</v>
      </c>
      <c r="E6" s="90">
        <v>6.32</v>
      </c>
      <c r="F6" s="90">
        <v>6.41</v>
      </c>
      <c r="G6" s="93">
        <v>-1.25</v>
      </c>
      <c r="H6" s="99">
        <v>-0.1673</v>
      </c>
      <c r="I6" s="87">
        <v>1530</v>
      </c>
      <c r="J6" s="87">
        <v>2182</v>
      </c>
      <c r="K6" s="121">
        <v>0.1973</v>
      </c>
    </row>
    <row r="7" spans="1:11" ht="15" thickBot="1" x14ac:dyDescent="0.4">
      <c r="A7" s="115" t="s">
        <v>435</v>
      </c>
      <c r="B7" s="84" t="s">
        <v>224</v>
      </c>
      <c r="C7" s="104">
        <v>44468</v>
      </c>
      <c r="D7" s="89">
        <v>7.29</v>
      </c>
      <c r="E7" s="89">
        <v>7.21</v>
      </c>
      <c r="F7" s="89">
        <v>7.27</v>
      </c>
      <c r="G7" s="92">
        <v>-1.42</v>
      </c>
      <c r="H7" s="98">
        <v>-0.16300000000000001</v>
      </c>
      <c r="I7" s="85">
        <v>304</v>
      </c>
      <c r="J7" s="85">
        <v>279</v>
      </c>
      <c r="K7" s="120">
        <v>0.20610000000000001</v>
      </c>
    </row>
    <row r="8" spans="1:11" ht="15" thickBot="1" x14ac:dyDescent="0.4">
      <c r="A8" s="116" t="s">
        <v>436</v>
      </c>
      <c r="B8" s="86" t="s">
        <v>82</v>
      </c>
      <c r="C8" s="105">
        <v>44469</v>
      </c>
      <c r="D8" s="90">
        <v>7.82</v>
      </c>
      <c r="E8" s="90">
        <v>7.66</v>
      </c>
      <c r="F8" s="90">
        <v>7.72</v>
      </c>
      <c r="G8" s="93">
        <v>-1.19</v>
      </c>
      <c r="H8" s="99">
        <v>-0.1321</v>
      </c>
      <c r="I8" s="87">
        <v>995</v>
      </c>
      <c r="J8" s="87">
        <v>4960</v>
      </c>
      <c r="K8" s="121">
        <v>0.21160000000000001</v>
      </c>
    </row>
    <row r="9" spans="1:11" ht="15" thickBot="1" x14ac:dyDescent="0.4">
      <c r="A9" s="115" t="s">
        <v>437</v>
      </c>
      <c r="B9" s="84" t="s">
        <v>224</v>
      </c>
      <c r="C9" s="104">
        <v>44470</v>
      </c>
      <c r="D9" s="89">
        <v>8.1</v>
      </c>
      <c r="E9" s="89">
        <v>8.0500000000000007</v>
      </c>
      <c r="F9" s="89">
        <v>8.11</v>
      </c>
      <c r="G9" s="92">
        <v>-1.3</v>
      </c>
      <c r="H9" s="98">
        <v>-0.13830000000000001</v>
      </c>
      <c r="I9" s="85">
        <v>633</v>
      </c>
      <c r="J9" s="85">
        <v>859</v>
      </c>
      <c r="K9" s="120">
        <v>0.21479999999999999</v>
      </c>
    </row>
    <row r="10" spans="1:11" ht="15" thickBot="1" x14ac:dyDescent="0.4">
      <c r="A10" s="116" t="s">
        <v>438</v>
      </c>
      <c r="B10" s="86" t="s">
        <v>100</v>
      </c>
      <c r="C10" s="105">
        <v>44473</v>
      </c>
      <c r="D10" s="90">
        <v>8.8800000000000008</v>
      </c>
      <c r="E10" s="90">
        <v>8.4499999999999993</v>
      </c>
      <c r="F10" s="90">
        <v>8.51</v>
      </c>
      <c r="G10" s="93">
        <v>-0.67</v>
      </c>
      <c r="H10" s="99">
        <v>-7.0199999999999999E-2</v>
      </c>
      <c r="I10" s="87">
        <v>211</v>
      </c>
      <c r="J10" s="87">
        <v>230</v>
      </c>
      <c r="K10" s="121">
        <v>0.20100000000000001</v>
      </c>
    </row>
    <row r="11" spans="1:11" ht="15" thickBot="1" x14ac:dyDescent="0.4">
      <c r="A11" s="115" t="s">
        <v>439</v>
      </c>
      <c r="B11" s="84" t="s">
        <v>270</v>
      </c>
      <c r="C11" s="104">
        <v>44475</v>
      </c>
      <c r="D11" s="89">
        <v>10.63</v>
      </c>
      <c r="E11" s="89">
        <v>9.06</v>
      </c>
      <c r="F11" s="89">
        <v>9.1300000000000008</v>
      </c>
      <c r="G11" s="95">
        <v>0.4</v>
      </c>
      <c r="H11" s="101">
        <v>3.9100000000000003E-2</v>
      </c>
      <c r="I11" s="85">
        <v>56</v>
      </c>
      <c r="J11" s="85">
        <v>678</v>
      </c>
      <c r="K11" s="120">
        <v>0.20530000000000001</v>
      </c>
    </row>
    <row r="12" spans="1:11" ht="15" thickBot="1" x14ac:dyDescent="0.4">
      <c r="A12" s="116" t="s">
        <v>440</v>
      </c>
      <c r="B12" s="86" t="s">
        <v>224</v>
      </c>
      <c r="C12" s="105">
        <v>44477</v>
      </c>
      <c r="D12" s="90">
        <v>9.6999999999999993</v>
      </c>
      <c r="E12" s="90">
        <v>9.6199999999999992</v>
      </c>
      <c r="F12" s="90">
        <v>9.69</v>
      </c>
      <c r="G12" s="93">
        <v>-1.17</v>
      </c>
      <c r="H12" s="99">
        <v>-0.1076</v>
      </c>
      <c r="I12" s="87">
        <v>564</v>
      </c>
      <c r="J12" s="87">
        <v>271</v>
      </c>
      <c r="K12" s="121">
        <v>0.2082</v>
      </c>
    </row>
    <row r="13" spans="1:11" ht="15" thickBot="1" x14ac:dyDescent="0.4">
      <c r="A13" s="115" t="s">
        <v>441</v>
      </c>
      <c r="B13" s="84" t="s">
        <v>110</v>
      </c>
      <c r="C13" s="104">
        <v>44480</v>
      </c>
      <c r="D13" s="89">
        <v>9.94</v>
      </c>
      <c r="E13" s="89">
        <v>9.93</v>
      </c>
      <c r="F13" s="89">
        <v>9.99</v>
      </c>
      <c r="G13" s="92">
        <v>-1.23</v>
      </c>
      <c r="H13" s="98">
        <v>-0.1101</v>
      </c>
      <c r="I13" s="85">
        <v>89</v>
      </c>
      <c r="J13" s="85">
        <v>113</v>
      </c>
      <c r="K13" s="120">
        <v>0.19950000000000001</v>
      </c>
    </row>
    <row r="14" spans="1:11" ht="15" thickBot="1" x14ac:dyDescent="0.4">
      <c r="A14" s="116" t="s">
        <v>442</v>
      </c>
      <c r="B14" s="86" t="s">
        <v>262</v>
      </c>
      <c r="C14" s="105">
        <v>44482</v>
      </c>
      <c r="D14" s="90">
        <v>11.85</v>
      </c>
      <c r="E14" s="90">
        <v>10.41</v>
      </c>
      <c r="F14" s="90">
        <v>10.47</v>
      </c>
      <c r="G14" s="94">
        <v>1.0900000000000001</v>
      </c>
      <c r="H14" s="100">
        <v>0.1013</v>
      </c>
      <c r="I14" s="87">
        <v>165</v>
      </c>
      <c r="J14" s="87">
        <v>296</v>
      </c>
      <c r="K14" s="121">
        <v>0.20169999999999999</v>
      </c>
    </row>
    <row r="15" spans="1:11" ht="15" thickBot="1" x14ac:dyDescent="0.4">
      <c r="A15" s="115" t="s">
        <v>443</v>
      </c>
      <c r="B15" s="84" t="s">
        <v>110</v>
      </c>
      <c r="C15" s="104">
        <v>44484</v>
      </c>
      <c r="D15" s="89">
        <v>10.8</v>
      </c>
      <c r="E15" s="89">
        <v>10.85</v>
      </c>
      <c r="F15" s="89">
        <v>10.91</v>
      </c>
      <c r="G15" s="92">
        <v>-1.01</v>
      </c>
      <c r="H15" s="98">
        <v>-8.5500000000000007E-2</v>
      </c>
      <c r="I15" s="85">
        <v>3927</v>
      </c>
      <c r="J15" s="85">
        <v>8519</v>
      </c>
      <c r="K15" s="120">
        <v>0.20330000000000001</v>
      </c>
    </row>
    <row r="16" spans="1:11" ht="15" thickBot="1" x14ac:dyDescent="0.4">
      <c r="A16" s="116" t="s">
        <v>444</v>
      </c>
      <c r="B16" s="86" t="s">
        <v>445</v>
      </c>
      <c r="C16" s="105">
        <v>44487</v>
      </c>
      <c r="D16" s="90">
        <v>11.89</v>
      </c>
      <c r="E16" s="90">
        <v>11.09</v>
      </c>
      <c r="F16" s="90">
        <v>11.27</v>
      </c>
      <c r="G16" s="94">
        <v>0.15</v>
      </c>
      <c r="H16" s="100">
        <v>1.2800000000000001E-2</v>
      </c>
      <c r="I16" s="87">
        <v>7</v>
      </c>
      <c r="J16" s="87">
        <v>96</v>
      </c>
      <c r="K16" s="121">
        <v>0.19939999999999999</v>
      </c>
    </row>
    <row r="17" spans="1:11" ht="15" thickBot="1" x14ac:dyDescent="0.4">
      <c r="A17" s="115" t="s">
        <v>446</v>
      </c>
      <c r="B17" s="84" t="s">
        <v>82</v>
      </c>
      <c r="C17" s="104">
        <v>44489</v>
      </c>
      <c r="D17" s="89">
        <v>11.7</v>
      </c>
      <c r="E17" s="89">
        <v>11.51</v>
      </c>
      <c r="F17" s="89">
        <v>11.69</v>
      </c>
      <c r="G17" s="92">
        <v>-0.95</v>
      </c>
      <c r="H17" s="98">
        <v>-7.51E-2</v>
      </c>
      <c r="I17" s="85">
        <v>49</v>
      </c>
      <c r="J17" s="85">
        <v>121</v>
      </c>
      <c r="K17" s="120">
        <v>0.2011</v>
      </c>
    </row>
    <row r="18" spans="1:11" ht="15" thickBot="1" x14ac:dyDescent="0.4">
      <c r="A18" s="116" t="s">
        <v>447</v>
      </c>
      <c r="B18" s="86" t="s">
        <v>76</v>
      </c>
      <c r="C18" s="105">
        <v>44491</v>
      </c>
      <c r="D18" s="90">
        <v>12.2</v>
      </c>
      <c r="E18" s="90">
        <v>11.97</v>
      </c>
      <c r="F18" s="90">
        <v>12.04</v>
      </c>
      <c r="G18" s="93">
        <v>-0.96</v>
      </c>
      <c r="H18" s="99">
        <v>-7.2900000000000006E-2</v>
      </c>
      <c r="I18" s="87">
        <v>165</v>
      </c>
      <c r="J18" s="87">
        <v>270</v>
      </c>
      <c r="K18" s="121">
        <v>0.2016</v>
      </c>
    </row>
    <row r="19" spans="1:11" ht="15" thickBot="1" x14ac:dyDescent="0.4">
      <c r="A19" s="115" t="s">
        <v>448</v>
      </c>
      <c r="B19" s="84" t="s">
        <v>275</v>
      </c>
      <c r="C19" s="104">
        <v>44494</v>
      </c>
      <c r="D19" s="89">
        <v>12.6</v>
      </c>
      <c r="E19" s="89">
        <v>12.17</v>
      </c>
      <c r="F19" s="89">
        <v>12.33</v>
      </c>
      <c r="G19" s="92">
        <v>-0.28999999999999998</v>
      </c>
      <c r="H19" s="98">
        <v>-2.2499999999999999E-2</v>
      </c>
      <c r="I19" s="85">
        <v>55</v>
      </c>
      <c r="J19" s="85">
        <v>38</v>
      </c>
      <c r="K19" s="120">
        <v>0.1981</v>
      </c>
    </row>
    <row r="20" spans="1:11" ht="15" thickBot="1" x14ac:dyDescent="0.4">
      <c r="A20" s="116" t="s">
        <v>73</v>
      </c>
      <c r="B20" s="86" t="s">
        <v>74</v>
      </c>
      <c r="C20" s="105">
        <v>44498</v>
      </c>
      <c r="D20" s="90">
        <v>13.1</v>
      </c>
      <c r="E20" s="90">
        <v>12.96</v>
      </c>
      <c r="F20" s="90">
        <v>13.11</v>
      </c>
      <c r="G20" s="93">
        <v>-1.05</v>
      </c>
      <c r="H20" s="99">
        <v>-7.4200000000000002E-2</v>
      </c>
      <c r="I20" s="87">
        <v>131</v>
      </c>
      <c r="J20" s="87">
        <v>373</v>
      </c>
      <c r="K20" s="121">
        <v>0.20150000000000001</v>
      </c>
    </row>
    <row r="21" spans="1:11" ht="15" thickBot="1" x14ac:dyDescent="0.4">
      <c r="A21" s="115" t="s">
        <v>449</v>
      </c>
      <c r="B21" s="84" t="s">
        <v>74</v>
      </c>
      <c r="C21" s="104">
        <v>44519</v>
      </c>
      <c r="D21" s="89">
        <v>15.72</v>
      </c>
      <c r="E21" s="89">
        <v>15.66</v>
      </c>
      <c r="F21" s="89">
        <v>15.74</v>
      </c>
      <c r="G21" s="92">
        <v>-0.96</v>
      </c>
      <c r="H21" s="98">
        <v>-5.7599999999999998E-2</v>
      </c>
      <c r="I21" s="85">
        <v>783</v>
      </c>
      <c r="J21" s="85">
        <v>4436</v>
      </c>
      <c r="K21" s="120">
        <v>0.2</v>
      </c>
    </row>
    <row r="22" spans="1:11" ht="15" thickBot="1" x14ac:dyDescent="0.4">
      <c r="A22" s="116" t="s">
        <v>450</v>
      </c>
      <c r="B22" s="86" t="s">
        <v>253</v>
      </c>
      <c r="C22" s="105">
        <v>44547</v>
      </c>
      <c r="D22" s="90">
        <v>19.46</v>
      </c>
      <c r="E22" s="90">
        <v>18.309999999999999</v>
      </c>
      <c r="F22" s="90">
        <v>18.350000000000001</v>
      </c>
      <c r="G22" s="93">
        <v>-0.01</v>
      </c>
      <c r="H22" s="99">
        <v>-5.0000000000000001E-4</v>
      </c>
      <c r="I22" s="87">
        <v>3277</v>
      </c>
      <c r="J22" s="87">
        <v>7401</v>
      </c>
      <c r="K22" s="121">
        <v>0.19589999999999999</v>
      </c>
    </row>
    <row r="23" spans="1:11" ht="15" thickBot="1" x14ac:dyDescent="0.4">
      <c r="A23" s="115" t="s">
        <v>451</v>
      </c>
      <c r="B23" s="84" t="s">
        <v>127</v>
      </c>
      <c r="C23" s="104">
        <v>44561</v>
      </c>
      <c r="D23" s="89">
        <v>20.239999999999998</v>
      </c>
      <c r="E23" s="89">
        <v>19.36</v>
      </c>
      <c r="F23" s="89">
        <v>19.420000000000002</v>
      </c>
      <c r="G23" s="92">
        <v>-0.31</v>
      </c>
      <c r="H23" s="98">
        <v>-1.5100000000000001E-2</v>
      </c>
      <c r="I23" s="85">
        <v>325</v>
      </c>
      <c r="J23" s="85">
        <v>1269</v>
      </c>
      <c r="K23" s="120">
        <v>0.19359999999999999</v>
      </c>
    </row>
    <row r="24" spans="1:11" ht="15" thickBot="1" x14ac:dyDescent="0.4">
      <c r="A24" s="116" t="s">
        <v>452</v>
      </c>
      <c r="B24" s="86" t="s">
        <v>84</v>
      </c>
      <c r="C24" s="105">
        <v>44582</v>
      </c>
      <c r="D24" s="90">
        <v>21.11</v>
      </c>
      <c r="E24" s="90">
        <v>21.14</v>
      </c>
      <c r="F24" s="90">
        <v>21.2</v>
      </c>
      <c r="G24" s="93">
        <v>-1.19</v>
      </c>
      <c r="H24" s="99">
        <v>-5.3400000000000003E-2</v>
      </c>
      <c r="I24" s="87">
        <v>1428</v>
      </c>
      <c r="J24" s="87">
        <v>19971</v>
      </c>
      <c r="K24" s="121">
        <v>0.19409999999999999</v>
      </c>
    </row>
    <row r="25" spans="1:11" ht="15" thickBot="1" x14ac:dyDescent="0.4">
      <c r="A25" s="115" t="s">
        <v>453</v>
      </c>
      <c r="B25" s="84" t="s">
        <v>454</v>
      </c>
      <c r="C25" s="104">
        <v>44610</v>
      </c>
      <c r="D25" s="89">
        <v>25.66</v>
      </c>
      <c r="E25" s="89">
        <v>23.68</v>
      </c>
      <c r="F25" s="89">
        <v>23.76</v>
      </c>
      <c r="G25" s="95">
        <v>0.96</v>
      </c>
      <c r="H25" s="101">
        <v>3.8899999999999997E-2</v>
      </c>
      <c r="I25" s="85">
        <v>653</v>
      </c>
      <c r="J25" s="85">
        <v>1457</v>
      </c>
      <c r="K25" s="120">
        <v>0.1983</v>
      </c>
    </row>
    <row r="26" spans="1:11" ht="15" thickBot="1" x14ac:dyDescent="0.4">
      <c r="A26" s="116" t="s">
        <v>455</v>
      </c>
      <c r="B26" s="86" t="s">
        <v>386</v>
      </c>
      <c r="C26" s="105">
        <v>44638</v>
      </c>
      <c r="D26" s="90">
        <v>27.13</v>
      </c>
      <c r="E26" s="90">
        <v>25.63</v>
      </c>
      <c r="F26" s="90">
        <v>25.84</v>
      </c>
      <c r="G26" s="94">
        <v>0.88</v>
      </c>
      <c r="H26" s="100">
        <v>3.3500000000000002E-2</v>
      </c>
      <c r="I26" s="87">
        <v>310</v>
      </c>
      <c r="J26" s="87">
        <v>5791</v>
      </c>
      <c r="K26" s="121">
        <v>0.19939999999999999</v>
      </c>
    </row>
    <row r="27" spans="1:11" ht="15" thickBot="1" x14ac:dyDescent="0.4">
      <c r="A27" s="115" t="s">
        <v>456</v>
      </c>
      <c r="B27" s="84" t="s">
        <v>457</v>
      </c>
      <c r="C27" s="104">
        <v>44651</v>
      </c>
      <c r="D27" s="89">
        <v>27.89</v>
      </c>
      <c r="E27" s="89">
        <v>26.28</v>
      </c>
      <c r="F27" s="89">
        <v>26.68</v>
      </c>
      <c r="G27" s="95">
        <v>0.59</v>
      </c>
      <c r="H27" s="101">
        <v>2.1600000000000001E-2</v>
      </c>
      <c r="I27" s="85">
        <v>8</v>
      </c>
      <c r="J27" s="85">
        <v>1245</v>
      </c>
      <c r="K27" s="120">
        <v>0.1993</v>
      </c>
    </row>
    <row r="28" spans="1:11" ht="15" thickBot="1" x14ac:dyDescent="0.4">
      <c r="A28" s="116" t="s">
        <v>458</v>
      </c>
      <c r="B28" s="86" t="s">
        <v>47</v>
      </c>
      <c r="C28" s="105">
        <v>44729</v>
      </c>
      <c r="D28" s="90">
        <v>32.64</v>
      </c>
      <c r="E28" s="90">
        <v>31.18</v>
      </c>
      <c r="F28" s="90">
        <v>31.55</v>
      </c>
      <c r="G28" s="94">
        <v>0.83</v>
      </c>
      <c r="H28" s="100">
        <v>2.6100000000000002E-2</v>
      </c>
      <c r="I28" s="87">
        <v>89</v>
      </c>
      <c r="J28" s="87">
        <v>2027</v>
      </c>
      <c r="K28" s="121">
        <v>0.20100000000000001</v>
      </c>
    </row>
    <row r="29" spans="1:11" ht="15" thickBot="1" x14ac:dyDescent="0.4">
      <c r="A29" s="115" t="s">
        <v>459</v>
      </c>
      <c r="B29" s="84" t="s">
        <v>460</v>
      </c>
      <c r="C29" s="104">
        <v>44742</v>
      </c>
      <c r="D29" s="89">
        <v>33.380000000000003</v>
      </c>
      <c r="E29" s="89">
        <v>31.67</v>
      </c>
      <c r="F29" s="89">
        <v>32.49</v>
      </c>
      <c r="G29" s="95">
        <v>2.41</v>
      </c>
      <c r="H29" s="101">
        <v>7.7799999999999994E-2</v>
      </c>
      <c r="I29" s="85">
        <v>34</v>
      </c>
      <c r="J29" s="85">
        <v>208</v>
      </c>
      <c r="K29" s="120">
        <v>0.20250000000000001</v>
      </c>
    </row>
    <row r="30" spans="1:11" ht="15" thickBot="1" x14ac:dyDescent="0.4">
      <c r="A30" s="136" t="s">
        <v>461</v>
      </c>
      <c r="B30" s="130" t="s">
        <v>362</v>
      </c>
      <c r="C30" s="131">
        <v>44820</v>
      </c>
      <c r="D30" s="132">
        <v>37.630000000000003</v>
      </c>
      <c r="E30" s="132">
        <v>35.78</v>
      </c>
      <c r="F30" s="132">
        <v>36.380000000000003</v>
      </c>
      <c r="G30" s="161">
        <v>0.42</v>
      </c>
      <c r="H30" s="162">
        <v>1.1299999999999999E-2</v>
      </c>
      <c r="I30" s="135">
        <v>57</v>
      </c>
      <c r="J30" s="135">
        <v>3027</v>
      </c>
      <c r="K30" s="137">
        <v>0.2021</v>
      </c>
    </row>
    <row r="31" spans="1:11" ht="15" thickBot="1" x14ac:dyDescent="0.4">
      <c r="A31" s="75" t="s">
        <v>462</v>
      </c>
      <c r="B31" s="76" t="s">
        <v>84</v>
      </c>
      <c r="C31" s="77">
        <v>44911</v>
      </c>
      <c r="D31" s="76">
        <v>40.200000000000003</v>
      </c>
      <c r="E31" s="76">
        <v>39.6</v>
      </c>
      <c r="F31" s="76">
        <v>40.36</v>
      </c>
      <c r="G31" s="78">
        <v>-0.02</v>
      </c>
      <c r="H31" s="79">
        <v>-5.0000000000000001E-4</v>
      </c>
      <c r="I31" s="76">
        <v>12</v>
      </c>
      <c r="J31" s="80">
        <v>13668</v>
      </c>
      <c r="K31" s="81">
        <v>0.2014</v>
      </c>
    </row>
    <row r="32" spans="1:11" ht="15" thickBot="1" x14ac:dyDescent="0.4">
      <c r="A32" s="43" t="s">
        <v>463</v>
      </c>
      <c r="B32" s="44" t="s">
        <v>420</v>
      </c>
      <c r="C32" s="59">
        <v>44946</v>
      </c>
      <c r="D32" s="44">
        <v>42.35</v>
      </c>
      <c r="E32" s="44">
        <v>38.5</v>
      </c>
      <c r="F32" s="44">
        <v>42.5</v>
      </c>
      <c r="G32" s="46">
        <v>1.51</v>
      </c>
      <c r="H32" s="47">
        <v>3.6999999999999998E-2</v>
      </c>
      <c r="I32" s="44">
        <v>31</v>
      </c>
      <c r="J32" s="58">
        <v>1340</v>
      </c>
      <c r="K32" s="45">
        <v>0.2049</v>
      </c>
    </row>
    <row r="33" spans="1:11" ht="15" thickBot="1" x14ac:dyDescent="0.4">
      <c r="A33" s="43" t="s">
        <v>464</v>
      </c>
      <c r="B33" s="44" t="s">
        <v>465</v>
      </c>
      <c r="C33" s="59">
        <v>45002</v>
      </c>
      <c r="D33" s="44">
        <v>39.5</v>
      </c>
      <c r="E33" s="44">
        <v>40.5</v>
      </c>
      <c r="F33" s="44">
        <v>45.5</v>
      </c>
      <c r="G33" s="44">
        <v>0</v>
      </c>
      <c r="H33" s="44" t="s">
        <v>11</v>
      </c>
      <c r="I33" s="44">
        <v>5</v>
      </c>
      <c r="J33" s="44">
        <v>24</v>
      </c>
      <c r="K33" s="45">
        <v>0.2084</v>
      </c>
    </row>
    <row r="34" spans="1:11" ht="21" customHeight="1" thickBot="1" x14ac:dyDescent="0.4">
      <c r="A34" s="43" t="s">
        <v>466</v>
      </c>
      <c r="B34" s="44" t="s">
        <v>467</v>
      </c>
      <c r="C34" s="59">
        <v>45093</v>
      </c>
      <c r="D34" s="44">
        <v>48</v>
      </c>
      <c r="E34" s="44">
        <v>43.5</v>
      </c>
      <c r="F34" s="44">
        <v>48.5</v>
      </c>
      <c r="G34" s="46">
        <v>1.57</v>
      </c>
      <c r="H34" s="47">
        <v>3.3799999999999997E-2</v>
      </c>
      <c r="I34" s="44">
        <v>4</v>
      </c>
      <c r="J34" s="44">
        <v>482</v>
      </c>
      <c r="K34" s="45">
        <v>0.20619999999999999</v>
      </c>
    </row>
    <row r="35" spans="1:11" ht="15" thickBot="1" x14ac:dyDescent="0.4">
      <c r="A35" s="43" t="s">
        <v>468</v>
      </c>
      <c r="B35" s="44" t="s">
        <v>108</v>
      </c>
      <c r="C35" s="59">
        <v>45275</v>
      </c>
      <c r="D35" s="44">
        <v>53.5</v>
      </c>
      <c r="E35" s="44">
        <v>52</v>
      </c>
      <c r="F35" s="44">
        <v>55</v>
      </c>
      <c r="G35" s="46">
        <v>0.5</v>
      </c>
      <c r="H35" s="47">
        <v>9.4000000000000004E-3</v>
      </c>
      <c r="I35" s="44">
        <v>7</v>
      </c>
      <c r="J35" s="58">
        <v>1747</v>
      </c>
      <c r="K35" s="45">
        <v>0.2072</v>
      </c>
    </row>
    <row r="36" spans="1:11" x14ac:dyDescent="0.35">
      <c r="A36" s="43" t="s">
        <v>469</v>
      </c>
      <c r="B36" s="44" t="s">
        <v>470</v>
      </c>
      <c r="C36" s="59">
        <v>45310</v>
      </c>
      <c r="D36" s="44">
        <v>53.62</v>
      </c>
      <c r="E36" s="44">
        <v>52.05</v>
      </c>
      <c r="F36" s="44">
        <v>55.5</v>
      </c>
      <c r="G36" s="48">
        <v>-0.38</v>
      </c>
      <c r="H36" s="49">
        <v>-7.0000000000000001E-3</v>
      </c>
      <c r="I36" s="44">
        <v>14</v>
      </c>
      <c r="J36" s="44">
        <v>352</v>
      </c>
      <c r="K36" s="45">
        <v>0.20480000000000001</v>
      </c>
    </row>
    <row r="37" spans="1:11" x14ac:dyDescent="0.35">
      <c r="A37" s="39" t="s">
        <v>394</v>
      </c>
      <c r="B37"/>
      <c r="C37"/>
      <c r="D37"/>
      <c r="E37"/>
      <c r="F37"/>
      <c r="G37"/>
      <c r="H37"/>
      <c r="I37"/>
      <c r="J37"/>
      <c r="K37"/>
    </row>
    <row r="38" spans="1:11" ht="22.5" thickBot="1" x14ac:dyDescent="0.4">
      <c r="A38" s="40" t="s">
        <v>0</v>
      </c>
      <c r="B38" s="41" t="s">
        <v>1</v>
      </c>
      <c r="C38" s="42" t="s">
        <v>22</v>
      </c>
      <c r="D38" s="41" t="s">
        <v>3</v>
      </c>
      <c r="E38" s="41" t="s">
        <v>4</v>
      </c>
      <c r="F38" s="41" t="s">
        <v>5</v>
      </c>
      <c r="G38" s="41" t="s">
        <v>6</v>
      </c>
      <c r="H38" s="41" t="s">
        <v>7</v>
      </c>
      <c r="I38" s="41" t="s">
        <v>8</v>
      </c>
      <c r="J38" s="41" t="s">
        <v>9</v>
      </c>
      <c r="K38" s="41" t="s">
        <v>10</v>
      </c>
    </row>
    <row r="39" spans="1:11" ht="15" thickBot="1" x14ac:dyDescent="0.4">
      <c r="A39" s="50" t="s">
        <v>471</v>
      </c>
      <c r="B39" s="51" t="s">
        <v>432</v>
      </c>
      <c r="C39" s="60">
        <v>44461</v>
      </c>
      <c r="D39" s="51">
        <v>1.3</v>
      </c>
      <c r="E39" s="51">
        <v>1.3</v>
      </c>
      <c r="F39" s="51">
        <v>1.31</v>
      </c>
      <c r="G39" s="52">
        <v>-0.9</v>
      </c>
      <c r="H39" s="54">
        <v>-0.40910000000000002</v>
      </c>
      <c r="I39" s="55">
        <v>120991</v>
      </c>
      <c r="J39" s="55">
        <v>30550</v>
      </c>
      <c r="K39" s="53">
        <v>0.30520000000000003</v>
      </c>
    </row>
    <row r="40" spans="1:11" ht="15" thickBot="1" x14ac:dyDescent="0.4">
      <c r="A40" s="50" t="s">
        <v>472</v>
      </c>
      <c r="B40" s="51" t="s">
        <v>224</v>
      </c>
      <c r="C40" s="60">
        <v>44463</v>
      </c>
      <c r="D40" s="51">
        <v>2.73</v>
      </c>
      <c r="E40" s="51">
        <v>2.72</v>
      </c>
      <c r="F40" s="51">
        <v>2.73</v>
      </c>
      <c r="G40" s="52">
        <v>-0.69</v>
      </c>
      <c r="H40" s="54">
        <v>-0.20180000000000001</v>
      </c>
      <c r="I40" s="55">
        <v>51540</v>
      </c>
      <c r="J40" s="55">
        <v>36766</v>
      </c>
      <c r="K40" s="53">
        <v>0.27560000000000001</v>
      </c>
    </row>
    <row r="41" spans="1:11" ht="15" thickBot="1" x14ac:dyDescent="0.4">
      <c r="A41" s="50" t="s">
        <v>473</v>
      </c>
      <c r="B41" s="51" t="s">
        <v>224</v>
      </c>
      <c r="C41" s="60">
        <v>44466</v>
      </c>
      <c r="D41" s="51">
        <v>3.42</v>
      </c>
      <c r="E41" s="51">
        <v>3.43</v>
      </c>
      <c r="F41" s="51">
        <v>3.45</v>
      </c>
      <c r="G41" s="52">
        <v>-0.78</v>
      </c>
      <c r="H41" s="54">
        <v>-0.1857</v>
      </c>
      <c r="I41" s="55">
        <v>7551</v>
      </c>
      <c r="J41" s="55">
        <v>3055</v>
      </c>
      <c r="K41" s="53">
        <v>0.2291</v>
      </c>
    </row>
    <row r="42" spans="1:11" ht="15" thickBot="1" x14ac:dyDescent="0.4">
      <c r="A42" s="50" t="s">
        <v>474</v>
      </c>
      <c r="B42" s="51" t="s">
        <v>224</v>
      </c>
      <c r="C42" s="60">
        <v>44468</v>
      </c>
      <c r="D42" s="51">
        <v>4.28</v>
      </c>
      <c r="E42" s="51">
        <v>4.32</v>
      </c>
      <c r="F42" s="51">
        <v>4.3499999999999996</v>
      </c>
      <c r="G42" s="52">
        <v>-0.65</v>
      </c>
      <c r="H42" s="54">
        <v>-0.1318</v>
      </c>
      <c r="I42" s="55">
        <v>3412</v>
      </c>
      <c r="J42" s="55">
        <v>1323</v>
      </c>
      <c r="K42" s="53">
        <v>0.2349</v>
      </c>
    </row>
    <row r="43" spans="1:11" ht="15" thickBot="1" x14ac:dyDescent="0.4">
      <c r="A43" s="50" t="s">
        <v>475</v>
      </c>
      <c r="B43" s="51" t="s">
        <v>224</v>
      </c>
      <c r="C43" s="60">
        <v>44469</v>
      </c>
      <c r="D43" s="51">
        <v>4.74</v>
      </c>
      <c r="E43" s="51">
        <v>4.76</v>
      </c>
      <c r="F43" s="51">
        <v>4.79</v>
      </c>
      <c r="G43" s="52">
        <v>-0.55000000000000004</v>
      </c>
      <c r="H43" s="54">
        <v>-0.104</v>
      </c>
      <c r="I43" s="55">
        <v>22317</v>
      </c>
      <c r="J43" s="55">
        <v>37672</v>
      </c>
      <c r="K43" s="53">
        <v>0.2382</v>
      </c>
    </row>
    <row r="44" spans="1:11" ht="15" thickBot="1" x14ac:dyDescent="0.4">
      <c r="A44" s="50" t="s">
        <v>476</v>
      </c>
      <c r="B44" s="51" t="s">
        <v>224</v>
      </c>
      <c r="C44" s="60">
        <v>44470</v>
      </c>
      <c r="D44" s="51">
        <v>5.1100000000000003</v>
      </c>
      <c r="E44" s="51">
        <v>5.15</v>
      </c>
      <c r="F44" s="51">
        <v>5.18</v>
      </c>
      <c r="G44" s="52">
        <v>-0.51</v>
      </c>
      <c r="H44" s="54">
        <v>-9.0700000000000003E-2</v>
      </c>
      <c r="I44" s="55">
        <v>21199</v>
      </c>
      <c r="J44" s="55">
        <v>17850</v>
      </c>
      <c r="K44" s="53">
        <v>0.24</v>
      </c>
    </row>
    <row r="45" spans="1:11" ht="15" thickBot="1" x14ac:dyDescent="0.4">
      <c r="A45" s="50" t="s">
        <v>477</v>
      </c>
      <c r="B45" s="51" t="s">
        <v>100</v>
      </c>
      <c r="C45" s="60">
        <v>44473</v>
      </c>
      <c r="D45" s="51">
        <v>4.8499999999999996</v>
      </c>
      <c r="E45" s="51">
        <v>5.55</v>
      </c>
      <c r="F45" s="51">
        <v>5.59</v>
      </c>
      <c r="G45" s="52">
        <v>-1.2</v>
      </c>
      <c r="H45" s="54">
        <v>-0.1983</v>
      </c>
      <c r="I45" s="51">
        <v>521</v>
      </c>
      <c r="J45" s="55">
        <v>4622</v>
      </c>
      <c r="K45" s="53">
        <v>0.22339999999999999</v>
      </c>
    </row>
    <row r="46" spans="1:11" ht="15" thickBot="1" x14ac:dyDescent="0.4">
      <c r="A46" s="50" t="s">
        <v>478</v>
      </c>
      <c r="B46" s="51" t="s">
        <v>84</v>
      </c>
      <c r="C46" s="60">
        <v>44475</v>
      </c>
      <c r="D46" s="51">
        <v>6.2</v>
      </c>
      <c r="E46" s="51">
        <v>6.15</v>
      </c>
      <c r="F46" s="51">
        <v>6.19</v>
      </c>
      <c r="G46" s="52">
        <v>-0.09</v>
      </c>
      <c r="H46" s="54">
        <v>-1.43E-2</v>
      </c>
      <c r="I46" s="51">
        <v>577</v>
      </c>
      <c r="J46" s="51">
        <v>901</v>
      </c>
      <c r="K46" s="53">
        <v>0.22550000000000001</v>
      </c>
    </row>
    <row r="47" spans="1:11" ht="15" thickBot="1" x14ac:dyDescent="0.4">
      <c r="A47" s="50" t="s">
        <v>479</v>
      </c>
      <c r="B47" s="51" t="s">
        <v>114</v>
      </c>
      <c r="C47" s="60">
        <v>44477</v>
      </c>
      <c r="D47" s="51">
        <v>6.46</v>
      </c>
      <c r="E47" s="51">
        <v>6.7</v>
      </c>
      <c r="F47" s="51">
        <v>6.73</v>
      </c>
      <c r="G47" s="52">
        <v>-0.6</v>
      </c>
      <c r="H47" s="54">
        <v>-8.5000000000000006E-2</v>
      </c>
      <c r="I47" s="55">
        <v>6852</v>
      </c>
      <c r="J47" s="55">
        <v>7355</v>
      </c>
      <c r="K47" s="53">
        <v>0.2266</v>
      </c>
    </row>
    <row r="48" spans="1:11" ht="15" thickBot="1" x14ac:dyDescent="0.4">
      <c r="A48" s="50" t="s">
        <v>480</v>
      </c>
      <c r="B48" s="51" t="s">
        <v>224</v>
      </c>
      <c r="C48" s="60">
        <v>44480</v>
      </c>
      <c r="D48" s="51">
        <v>6.97</v>
      </c>
      <c r="E48" s="51">
        <v>7</v>
      </c>
      <c r="F48" s="51">
        <v>7.04</v>
      </c>
      <c r="G48" s="52">
        <v>-0.51</v>
      </c>
      <c r="H48" s="54">
        <v>-6.8199999999999997E-2</v>
      </c>
      <c r="I48" s="51">
        <v>223</v>
      </c>
      <c r="J48" s="51">
        <v>507</v>
      </c>
      <c r="K48" s="53">
        <v>0.2167</v>
      </c>
    </row>
    <row r="49" spans="1:11" ht="15" thickBot="1" x14ac:dyDescent="0.4">
      <c r="A49" s="50" t="s">
        <v>481</v>
      </c>
      <c r="B49" s="51" t="s">
        <v>57</v>
      </c>
      <c r="C49" s="60">
        <v>44482</v>
      </c>
      <c r="D49" s="51">
        <v>6.76</v>
      </c>
      <c r="E49" s="51">
        <v>7.46</v>
      </c>
      <c r="F49" s="51">
        <v>7.51</v>
      </c>
      <c r="G49" s="52">
        <v>-1.1100000000000001</v>
      </c>
      <c r="H49" s="54">
        <v>-0.14099999999999999</v>
      </c>
      <c r="I49" s="51">
        <v>382</v>
      </c>
      <c r="J49" s="51">
        <v>387</v>
      </c>
      <c r="K49" s="53">
        <v>0.21779999999999999</v>
      </c>
    </row>
    <row r="50" spans="1:11" ht="15" thickBot="1" x14ac:dyDescent="0.4">
      <c r="A50" s="50" t="s">
        <v>482</v>
      </c>
      <c r="B50" s="51" t="s">
        <v>224</v>
      </c>
      <c r="C50" s="60">
        <v>44484</v>
      </c>
      <c r="D50" s="51">
        <v>7.89</v>
      </c>
      <c r="E50" s="51">
        <v>7.91</v>
      </c>
      <c r="F50" s="51">
        <v>7.93</v>
      </c>
      <c r="G50" s="52">
        <v>-0.41</v>
      </c>
      <c r="H50" s="54">
        <v>-4.9399999999999999E-2</v>
      </c>
      <c r="I50" s="55">
        <v>29392</v>
      </c>
      <c r="J50" s="55">
        <v>128879</v>
      </c>
      <c r="K50" s="53">
        <v>0.21820000000000001</v>
      </c>
    </row>
    <row r="51" spans="1:11" ht="15" thickBot="1" x14ac:dyDescent="0.4">
      <c r="A51" s="50" t="s">
        <v>483</v>
      </c>
      <c r="B51" s="51" t="s">
        <v>164</v>
      </c>
      <c r="C51" s="60">
        <v>44487</v>
      </c>
      <c r="D51" s="51">
        <v>7.86</v>
      </c>
      <c r="E51" s="51">
        <v>8.16</v>
      </c>
      <c r="F51" s="51">
        <v>8.24</v>
      </c>
      <c r="G51" s="52">
        <v>-0.33</v>
      </c>
      <c r="H51" s="54">
        <v>-4.0300000000000002E-2</v>
      </c>
      <c r="I51" s="51">
        <v>109</v>
      </c>
      <c r="J51" s="51">
        <v>240</v>
      </c>
      <c r="K51" s="53">
        <v>0.21240000000000001</v>
      </c>
    </row>
    <row r="52" spans="1:11" ht="15" thickBot="1" x14ac:dyDescent="0.4">
      <c r="A52" s="50" t="s">
        <v>484</v>
      </c>
      <c r="B52" s="51" t="s">
        <v>485</v>
      </c>
      <c r="C52" s="60">
        <v>44489</v>
      </c>
      <c r="D52" s="51">
        <v>7.44</v>
      </c>
      <c r="E52" s="51">
        <v>8.58</v>
      </c>
      <c r="F52" s="51">
        <v>8.65</v>
      </c>
      <c r="G52" s="52">
        <v>-1.35</v>
      </c>
      <c r="H52" s="54">
        <v>-0.15359999999999999</v>
      </c>
      <c r="I52" s="51">
        <v>148</v>
      </c>
      <c r="J52" s="55">
        <v>1050</v>
      </c>
      <c r="K52" s="53">
        <v>0.2135</v>
      </c>
    </row>
    <row r="53" spans="1:11" ht="15" thickBot="1" x14ac:dyDescent="0.4">
      <c r="A53" s="50" t="s">
        <v>486</v>
      </c>
      <c r="B53" s="51" t="s">
        <v>110</v>
      </c>
      <c r="C53" s="60">
        <v>44491</v>
      </c>
      <c r="D53" s="51">
        <v>9.0299999999999994</v>
      </c>
      <c r="E53" s="51">
        <v>8.99</v>
      </c>
      <c r="F53" s="51">
        <v>9.0399999999999991</v>
      </c>
      <c r="G53" s="56">
        <v>0.17</v>
      </c>
      <c r="H53" s="57">
        <v>1.9199999999999998E-2</v>
      </c>
      <c r="I53" s="51">
        <v>334</v>
      </c>
      <c r="J53" s="55">
        <v>2471</v>
      </c>
      <c r="K53" s="53">
        <v>0.21440000000000001</v>
      </c>
    </row>
    <row r="54" spans="1:11" ht="15" thickBot="1" x14ac:dyDescent="0.4">
      <c r="A54" s="50" t="s">
        <v>487</v>
      </c>
      <c r="B54" s="51" t="s">
        <v>488</v>
      </c>
      <c r="C54" s="60">
        <v>44494</v>
      </c>
      <c r="D54" s="51">
        <v>8.6999999999999993</v>
      </c>
      <c r="E54" s="51">
        <v>9.19</v>
      </c>
      <c r="F54" s="51">
        <v>9.33</v>
      </c>
      <c r="G54" s="52">
        <v>-0.8</v>
      </c>
      <c r="H54" s="54">
        <v>-8.4199999999999997E-2</v>
      </c>
      <c r="I54" s="51">
        <v>62</v>
      </c>
      <c r="J54" s="51">
        <v>84</v>
      </c>
      <c r="K54" s="53">
        <v>0.2102</v>
      </c>
    </row>
    <row r="55" spans="1:11" ht="15" thickBot="1" x14ac:dyDescent="0.4">
      <c r="A55" s="50" t="s">
        <v>289</v>
      </c>
      <c r="B55" s="51" t="s">
        <v>224</v>
      </c>
      <c r="C55" s="60">
        <v>44498</v>
      </c>
      <c r="D55" s="51">
        <v>10.02</v>
      </c>
      <c r="E55" s="51">
        <v>10</v>
      </c>
      <c r="F55" s="51">
        <v>10.06</v>
      </c>
      <c r="G55" s="52">
        <v>-0.45</v>
      </c>
      <c r="H55" s="54">
        <v>-4.2999999999999997E-2</v>
      </c>
      <c r="I55" s="51">
        <v>656</v>
      </c>
      <c r="J55" s="55">
        <v>1477</v>
      </c>
      <c r="K55" s="53">
        <v>0.21210000000000001</v>
      </c>
    </row>
    <row r="56" spans="1:11" ht="15" thickBot="1" x14ac:dyDescent="0.4">
      <c r="A56" s="50" t="s">
        <v>489</v>
      </c>
      <c r="B56" s="51" t="s">
        <v>224</v>
      </c>
      <c r="C56" s="60">
        <v>44519</v>
      </c>
      <c r="D56" s="51">
        <v>12.59</v>
      </c>
      <c r="E56" s="51">
        <v>12.59</v>
      </c>
      <c r="F56" s="51">
        <v>12.64</v>
      </c>
      <c r="G56" s="52">
        <v>-0.46</v>
      </c>
      <c r="H56" s="54">
        <v>-3.5200000000000002E-2</v>
      </c>
      <c r="I56" s="55">
        <v>7184</v>
      </c>
      <c r="J56" s="55">
        <v>31929</v>
      </c>
      <c r="K56" s="53">
        <v>0.20780000000000001</v>
      </c>
    </row>
    <row r="57" spans="1:11" ht="15" thickBot="1" x14ac:dyDescent="0.4">
      <c r="A57" s="50" t="s">
        <v>490</v>
      </c>
      <c r="B57" s="51" t="s">
        <v>224</v>
      </c>
      <c r="C57" s="60">
        <v>44547</v>
      </c>
      <c r="D57" s="51">
        <v>15.98</v>
      </c>
      <c r="E57" s="51">
        <v>15.95</v>
      </c>
      <c r="F57" s="51">
        <v>16</v>
      </c>
      <c r="G57" s="52">
        <v>-0.46</v>
      </c>
      <c r="H57" s="54">
        <v>-2.8000000000000001E-2</v>
      </c>
      <c r="I57" s="55">
        <v>3034</v>
      </c>
      <c r="J57" s="55">
        <v>32059</v>
      </c>
      <c r="K57" s="53">
        <v>0.21129999999999999</v>
      </c>
    </row>
    <row r="58" spans="1:11" ht="15" thickBot="1" x14ac:dyDescent="0.4">
      <c r="A58" s="50" t="s">
        <v>491</v>
      </c>
      <c r="B58" s="51" t="s">
        <v>132</v>
      </c>
      <c r="C58" s="60">
        <v>44561</v>
      </c>
      <c r="D58" s="51">
        <v>15.75</v>
      </c>
      <c r="E58" s="51">
        <v>17.170000000000002</v>
      </c>
      <c r="F58" s="51">
        <v>17.29</v>
      </c>
      <c r="G58" s="52">
        <v>-1.44</v>
      </c>
      <c r="H58" s="54">
        <v>-8.3799999999999999E-2</v>
      </c>
      <c r="I58" s="51">
        <v>216</v>
      </c>
      <c r="J58" s="55">
        <v>1891</v>
      </c>
      <c r="K58" s="53">
        <v>0.2104</v>
      </c>
    </row>
    <row r="59" spans="1:11" ht="15" thickBot="1" x14ac:dyDescent="0.4">
      <c r="A59" s="50" t="s">
        <v>492</v>
      </c>
      <c r="B59" s="51" t="s">
        <v>74</v>
      </c>
      <c r="C59" s="60">
        <v>44582</v>
      </c>
      <c r="D59" s="51">
        <v>18.77</v>
      </c>
      <c r="E59" s="51">
        <v>18.96</v>
      </c>
      <c r="F59" s="51">
        <v>19.09</v>
      </c>
      <c r="G59" s="52">
        <v>-0.6</v>
      </c>
      <c r="H59" s="54">
        <v>-3.1E-2</v>
      </c>
      <c r="I59" s="51">
        <v>590</v>
      </c>
      <c r="J59" s="55">
        <v>18713</v>
      </c>
      <c r="K59" s="53">
        <v>0.20960000000000001</v>
      </c>
    </row>
    <row r="60" spans="1:11" ht="15" thickBot="1" x14ac:dyDescent="0.4">
      <c r="A60" s="50" t="s">
        <v>493</v>
      </c>
      <c r="B60" s="51" t="s">
        <v>485</v>
      </c>
      <c r="C60" s="60">
        <v>44610</v>
      </c>
      <c r="D60" s="51">
        <v>20.28</v>
      </c>
      <c r="E60" s="51">
        <v>21.35</v>
      </c>
      <c r="F60" s="51">
        <v>21.58</v>
      </c>
      <c r="G60" s="52">
        <v>-1.66</v>
      </c>
      <c r="H60" s="54">
        <v>-7.5700000000000003E-2</v>
      </c>
      <c r="I60" s="51">
        <v>16</v>
      </c>
      <c r="J60" s="55">
        <v>1885</v>
      </c>
      <c r="K60" s="53">
        <v>0.2117</v>
      </c>
    </row>
    <row r="61" spans="1:11" ht="15" thickBot="1" x14ac:dyDescent="0.4">
      <c r="A61" s="50" t="s">
        <v>494</v>
      </c>
      <c r="B61" s="51" t="s">
        <v>495</v>
      </c>
      <c r="C61" s="60">
        <v>44638</v>
      </c>
      <c r="D61" s="51">
        <v>23</v>
      </c>
      <c r="E61" s="51">
        <v>23.87</v>
      </c>
      <c r="F61" s="51">
        <v>24.11</v>
      </c>
      <c r="G61" s="52">
        <v>-0.75</v>
      </c>
      <c r="H61" s="54">
        <v>-3.1600000000000003E-2</v>
      </c>
      <c r="I61" s="51">
        <v>318</v>
      </c>
      <c r="J61" s="55">
        <v>6711</v>
      </c>
      <c r="K61" s="53">
        <v>0.2155</v>
      </c>
    </row>
    <row r="62" spans="1:11" ht="15" thickBot="1" x14ac:dyDescent="0.4">
      <c r="A62" s="50" t="s">
        <v>496</v>
      </c>
      <c r="B62" s="51" t="s">
        <v>497</v>
      </c>
      <c r="C62" s="60">
        <v>44651</v>
      </c>
      <c r="D62" s="51">
        <v>23.98</v>
      </c>
      <c r="E62" s="51">
        <v>24.68</v>
      </c>
      <c r="F62" s="51">
        <v>25.12</v>
      </c>
      <c r="G62" s="52">
        <v>-2.09</v>
      </c>
      <c r="H62" s="54">
        <v>-8.0199999999999994E-2</v>
      </c>
      <c r="I62" s="51">
        <v>14</v>
      </c>
      <c r="J62" s="51">
        <v>140</v>
      </c>
      <c r="K62" s="53">
        <v>0.21609999999999999</v>
      </c>
    </row>
    <row r="63" spans="1:11" ht="15" thickBot="1" x14ac:dyDescent="0.4">
      <c r="A63" s="50" t="s">
        <v>498</v>
      </c>
      <c r="B63" s="51" t="s">
        <v>499</v>
      </c>
      <c r="C63" s="60">
        <v>44729</v>
      </c>
      <c r="D63" s="51">
        <v>29</v>
      </c>
      <c r="E63" s="51">
        <v>30.36</v>
      </c>
      <c r="F63" s="51">
        <v>30.71</v>
      </c>
      <c r="G63" s="52">
        <v>-1.84</v>
      </c>
      <c r="H63" s="54">
        <v>-5.9700000000000003E-2</v>
      </c>
      <c r="I63" s="51">
        <v>140</v>
      </c>
      <c r="J63" s="55">
        <v>3935</v>
      </c>
      <c r="K63" s="53">
        <v>0.22009999999999999</v>
      </c>
    </row>
    <row r="64" spans="1:11" ht="15" thickBot="1" x14ac:dyDescent="0.4">
      <c r="A64" s="50" t="s">
        <v>500</v>
      </c>
      <c r="B64" s="51" t="s">
        <v>501</v>
      </c>
      <c r="C64" s="60">
        <v>44742</v>
      </c>
      <c r="D64" s="51">
        <v>31.66</v>
      </c>
      <c r="E64" s="51">
        <v>30.9</v>
      </c>
      <c r="F64" s="51">
        <v>31.83</v>
      </c>
      <c r="G64" s="52">
        <v>-0.63</v>
      </c>
      <c r="H64" s="54">
        <v>-1.95E-2</v>
      </c>
      <c r="I64" s="51">
        <v>20</v>
      </c>
      <c r="J64" s="51">
        <v>123</v>
      </c>
      <c r="K64" s="53">
        <v>0.2225</v>
      </c>
    </row>
    <row r="65" spans="1:11" ht="15" thickBot="1" x14ac:dyDescent="0.4">
      <c r="A65" s="50" t="s">
        <v>502</v>
      </c>
      <c r="B65" s="51" t="s">
        <v>503</v>
      </c>
      <c r="C65" s="60">
        <v>44820</v>
      </c>
      <c r="D65" s="51">
        <v>35</v>
      </c>
      <c r="E65" s="51">
        <v>35.869999999999997</v>
      </c>
      <c r="F65" s="51">
        <v>36.4</v>
      </c>
      <c r="G65" s="52">
        <v>-1.5</v>
      </c>
      <c r="H65" s="54">
        <v>-4.1099999999999998E-2</v>
      </c>
      <c r="I65" s="51">
        <v>480</v>
      </c>
      <c r="J65" s="55">
        <v>1380</v>
      </c>
      <c r="K65" s="53">
        <v>0.2238</v>
      </c>
    </row>
    <row r="66" spans="1:11" ht="15" thickBot="1" x14ac:dyDescent="0.4">
      <c r="A66" s="50" t="s">
        <v>504</v>
      </c>
      <c r="B66" s="51" t="s">
        <v>84</v>
      </c>
      <c r="C66" s="60">
        <v>44911</v>
      </c>
      <c r="D66" s="51">
        <v>40.75</v>
      </c>
      <c r="E66" s="51">
        <v>40.6</v>
      </c>
      <c r="F66" s="51">
        <v>41.26</v>
      </c>
      <c r="G66" s="52">
        <v>-0.48</v>
      </c>
      <c r="H66" s="54">
        <v>-1.1599999999999999E-2</v>
      </c>
      <c r="I66" s="51">
        <v>29</v>
      </c>
      <c r="J66" s="55">
        <v>1891</v>
      </c>
      <c r="K66" s="53">
        <v>0.22559999999999999</v>
      </c>
    </row>
    <row r="67" spans="1:11" ht="15" thickBot="1" x14ac:dyDescent="0.4">
      <c r="A67" s="50" t="s">
        <v>505</v>
      </c>
      <c r="B67" s="51" t="s">
        <v>506</v>
      </c>
      <c r="C67" s="60">
        <v>44946</v>
      </c>
      <c r="D67" s="51">
        <v>38.5</v>
      </c>
      <c r="E67" s="51">
        <v>39.5</v>
      </c>
      <c r="F67" s="51">
        <v>44.5</v>
      </c>
      <c r="G67" s="52">
        <v>-3.99</v>
      </c>
      <c r="H67" s="54">
        <v>-9.3899999999999997E-2</v>
      </c>
      <c r="I67" s="51">
        <v>9</v>
      </c>
      <c r="J67" s="51">
        <v>929</v>
      </c>
      <c r="K67" s="53">
        <v>0.23369999999999999</v>
      </c>
    </row>
    <row r="68" spans="1:11" ht="15" thickBot="1" x14ac:dyDescent="0.4">
      <c r="A68" s="50" t="s">
        <v>507</v>
      </c>
      <c r="B68" s="51" t="s">
        <v>508</v>
      </c>
      <c r="C68" s="60">
        <v>45002</v>
      </c>
      <c r="D68" s="51">
        <v>40.299999999999997</v>
      </c>
      <c r="E68" s="51">
        <v>42</v>
      </c>
      <c r="F68" s="51">
        <v>47</v>
      </c>
      <c r="G68" s="51">
        <v>0</v>
      </c>
      <c r="H68" s="51" t="s">
        <v>11</v>
      </c>
      <c r="I68" s="51">
        <v>1</v>
      </c>
      <c r="J68" s="51">
        <v>54</v>
      </c>
      <c r="K68" s="53">
        <v>0.2334</v>
      </c>
    </row>
    <row r="69" spans="1:11" ht="15" thickBot="1" x14ac:dyDescent="0.4">
      <c r="A69" s="50" t="s">
        <v>509</v>
      </c>
      <c r="B69" s="51" t="s">
        <v>510</v>
      </c>
      <c r="C69" s="60">
        <v>45093</v>
      </c>
      <c r="D69" s="51">
        <v>48.17</v>
      </c>
      <c r="E69" s="51">
        <v>46</v>
      </c>
      <c r="F69" s="51">
        <v>51</v>
      </c>
      <c r="G69" s="51">
        <v>0</v>
      </c>
      <c r="H69" s="51" t="s">
        <v>11</v>
      </c>
      <c r="I69" s="51">
        <v>108</v>
      </c>
      <c r="J69" s="51">
        <v>111</v>
      </c>
      <c r="K69" s="53">
        <v>0.23380000000000001</v>
      </c>
    </row>
    <row r="70" spans="1:11" ht="15" thickBot="1" x14ac:dyDescent="0.4">
      <c r="A70" s="50" t="s">
        <v>511</v>
      </c>
      <c r="B70" s="51" t="s">
        <v>214</v>
      </c>
      <c r="C70" s="60">
        <v>45275</v>
      </c>
      <c r="D70" s="51">
        <v>55.06</v>
      </c>
      <c r="E70" s="51">
        <v>52.5</v>
      </c>
      <c r="F70" s="51">
        <v>57.5</v>
      </c>
      <c r="G70" s="52">
        <v>-2.08</v>
      </c>
      <c r="H70" s="54">
        <v>-3.6400000000000002E-2</v>
      </c>
      <c r="I70" s="51">
        <v>5</v>
      </c>
      <c r="J70" s="51">
        <v>931</v>
      </c>
      <c r="K70" s="53">
        <v>0.23169999999999999</v>
      </c>
    </row>
    <row r="71" spans="1:11" x14ac:dyDescent="0.35">
      <c r="A71" s="50" t="s">
        <v>512</v>
      </c>
      <c r="B71" s="51" t="s">
        <v>513</v>
      </c>
      <c r="C71" s="60">
        <v>45310</v>
      </c>
      <c r="D71" s="51">
        <v>55.65</v>
      </c>
      <c r="E71" s="51">
        <v>53.5</v>
      </c>
      <c r="F71" s="51">
        <v>58.5</v>
      </c>
      <c r="G71" s="52">
        <v>-0.06</v>
      </c>
      <c r="H71" s="54">
        <v>-1.1000000000000001E-3</v>
      </c>
      <c r="I71" s="51">
        <v>2</v>
      </c>
      <c r="J71" s="51">
        <v>4</v>
      </c>
      <c r="K71" s="53">
        <v>0.23080000000000001</v>
      </c>
    </row>
  </sheetData>
  <hyperlinks>
    <hyperlink ref="A1" r:id="rId1" tooltip="Remove Strike Filtering" display="https://finance.yahoo.com/quote/SPY/options?straddle=false" xr:uid="{6BB33B06-595E-4CD8-A6B9-49959B361253}"/>
    <hyperlink ref="A4" r:id="rId2" display="https://finance.yahoo.com/quote/SPY210922C00430000?p=SPY210922C00430000" xr:uid="{658D039F-9AAD-4E8E-87B5-0AC2BDBD6194}"/>
    <hyperlink ref="C4" r:id="rId3" display="https://finance.yahoo.com/quote/SPY/options?date=1632268800&amp;straddle=false" xr:uid="{A6454573-1CF1-47DB-A2A3-0D14C30164BD}"/>
    <hyperlink ref="A5" r:id="rId4" display="https://finance.yahoo.com/quote/SPY210924C00430000?p=SPY210924C00430000" xr:uid="{EACBFD50-BFC6-4E6C-B36D-4C01FF10699F}"/>
    <hyperlink ref="C5" r:id="rId5" display="https://finance.yahoo.com/quote/SPY/options?date=1632441600&amp;straddle=false" xr:uid="{FA1A1A69-688E-4B37-95D0-B84001085E2E}"/>
    <hyperlink ref="A6" r:id="rId6" display="https://finance.yahoo.com/quote/SPY210927C00430000?p=SPY210927C00430000" xr:uid="{E3A0E3CC-4766-4AA5-B92D-0BF70D1905E1}"/>
    <hyperlink ref="C6" r:id="rId7" display="https://finance.yahoo.com/quote/SPY/options?date=1632700800&amp;straddle=false" xr:uid="{475ECB61-6A0B-48EC-93AF-3F4B66BA501F}"/>
    <hyperlink ref="A7" r:id="rId8" display="https://finance.yahoo.com/quote/SPY210929C00430000?p=SPY210929C00430000" xr:uid="{13BD639E-865F-4CBF-BEB2-AB93FB239A30}"/>
    <hyperlink ref="C7" r:id="rId9" display="https://finance.yahoo.com/quote/SPY/options?date=1632873600&amp;straddle=false" xr:uid="{DA149BE7-0E0A-4FC8-99C5-C71348E832F9}"/>
    <hyperlink ref="A8" r:id="rId10" display="https://finance.yahoo.com/quote/SPY210930C00430000?p=SPY210930C00430000" xr:uid="{77943C62-519E-4B9E-9FF8-3FC8E2AE315E}"/>
    <hyperlink ref="C8" r:id="rId11" display="https://finance.yahoo.com/quote/SPY/options?date=1632960000&amp;straddle=false" xr:uid="{CC2F96B9-D836-4F6F-A778-60563211B902}"/>
    <hyperlink ref="A9" r:id="rId12" display="https://finance.yahoo.com/quote/SPY211001C00430000?p=SPY211001C00430000" xr:uid="{F8E3FA63-E91E-4432-8D7A-A97F201F5EA3}"/>
    <hyperlink ref="C9" r:id="rId13" display="https://finance.yahoo.com/quote/SPY/options?date=1633046400&amp;straddle=false" xr:uid="{BEE56768-A9DB-4B82-B0FA-B3209EA339A5}"/>
    <hyperlink ref="A10" r:id="rId14" display="https://finance.yahoo.com/quote/SPY211004C00430000?p=SPY211004C00430000" xr:uid="{3639696E-3652-47A3-8DB9-3695A13CDC04}"/>
    <hyperlink ref="C10" r:id="rId15" display="https://finance.yahoo.com/quote/SPY/options?date=1633305600&amp;straddle=false" xr:uid="{2D658C0F-4A55-471A-A8B5-0BB17CDDD5FE}"/>
    <hyperlink ref="A11" r:id="rId16" display="https://finance.yahoo.com/quote/SPY211006C00430000?p=SPY211006C00430000" xr:uid="{C595E3DF-6D59-48F8-8EBC-C5C04B58AD54}"/>
    <hyperlink ref="C11" r:id="rId17" display="https://finance.yahoo.com/quote/SPY/options?date=1633478400&amp;straddle=false" xr:uid="{6F4EBB58-C96D-4F6E-B73C-9F6458582F3E}"/>
    <hyperlink ref="A12" r:id="rId18" display="https://finance.yahoo.com/quote/SPY211008C00430000?p=SPY211008C00430000" xr:uid="{3F141633-90F6-48EC-89E7-6D5B050498E2}"/>
    <hyperlink ref="C12" r:id="rId19" display="https://finance.yahoo.com/quote/SPY/options?date=1633651200&amp;straddle=false" xr:uid="{33397463-CCEE-4366-BAAA-BFE0CCA8CF4D}"/>
    <hyperlink ref="A13" r:id="rId20" display="https://finance.yahoo.com/quote/SPY211011C00430000?p=SPY211011C00430000" xr:uid="{6C5CD8A0-E676-41A4-903D-C3E60996625E}"/>
    <hyperlink ref="C13" r:id="rId21" display="https://finance.yahoo.com/quote/SPY/options?date=1633910400&amp;straddle=false" xr:uid="{F1DD727A-4004-4915-BBAB-646FCB7BA21D}"/>
    <hyperlink ref="A14" r:id="rId22" display="https://finance.yahoo.com/quote/SPY211013C00430000?p=SPY211013C00430000" xr:uid="{18868124-BCEA-4CE8-A640-7AE31721617C}"/>
    <hyperlink ref="C14" r:id="rId23" display="https://finance.yahoo.com/quote/SPY/options?date=1634083200&amp;straddle=false" xr:uid="{FD5F0030-1FC6-41C0-AC2C-12272C3F55C7}"/>
    <hyperlink ref="A15" r:id="rId24" display="https://finance.yahoo.com/quote/SPY211015C00430000?p=SPY211015C00430000" xr:uid="{D95C8F87-5FFC-4EA1-8147-24BA7849A4C7}"/>
    <hyperlink ref="C15" r:id="rId25" display="https://finance.yahoo.com/quote/SPY/options?date=1634256000&amp;straddle=false" xr:uid="{D6913C34-9B4E-4465-9B0E-5DE4E3513325}"/>
    <hyperlink ref="A16" r:id="rId26" display="https://finance.yahoo.com/quote/SPY211018C00430000?p=SPY211018C00430000" xr:uid="{AD19DC0E-7762-46AA-8E7B-F07201FFA693}"/>
    <hyperlink ref="C16" r:id="rId27" display="https://finance.yahoo.com/quote/SPY/options?date=1634515200&amp;straddle=false" xr:uid="{EE05BF17-8BD8-45BD-B891-C6F3DD125918}"/>
    <hyperlink ref="A17" r:id="rId28" display="https://finance.yahoo.com/quote/SPY211020C00430000?p=SPY211020C00430000" xr:uid="{CD6A7998-D226-4FDA-8CC5-BD400A1438C0}"/>
    <hyperlink ref="C17" r:id="rId29" display="https://finance.yahoo.com/quote/SPY/options?date=1634688000&amp;straddle=false" xr:uid="{087BC1B8-E32D-45E2-8AA7-6A841EE3D004}"/>
    <hyperlink ref="A18" r:id="rId30" display="https://finance.yahoo.com/quote/SPY211022C00430000?p=SPY211022C00430000" xr:uid="{8672C589-2EB1-4F68-B93B-2F5D19E38288}"/>
    <hyperlink ref="C18" r:id="rId31" display="https://finance.yahoo.com/quote/SPY/options?date=1634860800&amp;straddle=false" xr:uid="{F1EC9C24-755F-4127-A36A-D0BA9760BBBC}"/>
    <hyperlink ref="A19" r:id="rId32" display="https://finance.yahoo.com/quote/SPY211025C00430000?p=SPY211025C00430000" xr:uid="{5E2783EE-C470-49B0-827C-EAE3FB051122}"/>
    <hyperlink ref="C19" r:id="rId33" display="https://finance.yahoo.com/quote/SPY/options?date=1635120000&amp;straddle=false" xr:uid="{DADB7793-B9A8-4E23-8E72-ED0B2B7F2FA3}"/>
    <hyperlink ref="A20" r:id="rId34" display="https://finance.yahoo.com/quote/SPY211029C00430000?p=SPY211029C00430000" xr:uid="{19B147A0-9BAD-434F-8CF0-14249126B5AC}"/>
    <hyperlink ref="C20" r:id="rId35" display="https://finance.yahoo.com/quote/SPY/options?date=1635465600&amp;straddle=false" xr:uid="{AE5B30AA-124B-44DE-AE43-ACEEF06CF977}"/>
    <hyperlink ref="A21" r:id="rId36" display="https://finance.yahoo.com/quote/SPY211119C00430000?p=SPY211119C00430000" xr:uid="{FA0D9180-21CB-4529-B64E-8ADF40E65AA2}"/>
    <hyperlink ref="C21" r:id="rId37" display="https://finance.yahoo.com/quote/SPY/options?date=1637280000&amp;straddle=false" xr:uid="{E26AC6C8-F859-4245-B2B3-038BF8AB80FE}"/>
    <hyperlink ref="A22" r:id="rId38" display="https://finance.yahoo.com/quote/SPY211217C00430000?p=SPY211217C00430000" xr:uid="{FE0FF1D4-D55C-49B9-832A-1F9F956511CB}"/>
    <hyperlink ref="C22" r:id="rId39" display="https://finance.yahoo.com/quote/SPY/options?date=1639699200&amp;straddle=false" xr:uid="{605E37A1-76B5-4D1D-A1EC-AAAF91A23E14}"/>
    <hyperlink ref="A23" r:id="rId40" display="https://finance.yahoo.com/quote/SPY211231C00430000?p=SPY211231C00430000" xr:uid="{77FEBCA8-3832-45D4-AA88-14F64D3057C7}"/>
    <hyperlink ref="C23" r:id="rId41" display="https://finance.yahoo.com/quote/SPY/options?date=1640908800&amp;straddle=false" xr:uid="{4DAE6F98-52E8-4F90-9B2B-1F32BFA16E36}"/>
    <hyperlink ref="A24" r:id="rId42" display="https://finance.yahoo.com/quote/SPY220121C00430000?p=SPY220121C00430000" xr:uid="{46D1BD34-CA52-4748-8B93-CD5FCAB92DDD}"/>
    <hyperlink ref="C24" r:id="rId43" display="https://finance.yahoo.com/quote/SPY/options?date=1642723200&amp;straddle=false" xr:uid="{D9CC72EF-E15B-47EF-9AF7-FABBF3DBB5BB}"/>
    <hyperlink ref="A25" r:id="rId44" display="https://finance.yahoo.com/quote/SPY220218C00430000?p=SPY220218C00430000" xr:uid="{E56C1C48-1836-4A7A-B1E8-905B780E4149}"/>
    <hyperlink ref="C25" r:id="rId45" display="https://finance.yahoo.com/quote/SPY/options?date=1645142400&amp;straddle=false" xr:uid="{5711BBFA-0C05-4A15-BBC0-26E5E273AE8A}"/>
    <hyperlink ref="A26" r:id="rId46" display="https://finance.yahoo.com/quote/SPY220318C00430000?p=SPY220318C00430000" xr:uid="{9FEAF69C-4D3C-432F-8A5B-1CD781CDDD6A}"/>
    <hyperlink ref="C26" r:id="rId47" display="https://finance.yahoo.com/quote/SPY/options?date=1647561600&amp;straddle=false" xr:uid="{5D361E2D-4C3A-4594-B393-3143EDC833C0}"/>
    <hyperlink ref="A27" r:id="rId48" display="https://finance.yahoo.com/quote/SPY220331C00430000?p=SPY220331C00430000" xr:uid="{53B51BE0-A886-4BB6-AB66-14C5E0143EBE}"/>
    <hyperlink ref="C27" r:id="rId49" display="https://finance.yahoo.com/quote/SPY/options?date=1648684800&amp;straddle=false" xr:uid="{C840655E-BAE8-41E2-9D83-34869B2D8EBC}"/>
    <hyperlink ref="A28" r:id="rId50" display="https://finance.yahoo.com/quote/SPY220617C00430000?p=SPY220617C00430000" xr:uid="{E8A00DDD-5FA1-40C6-AD1E-7342FC392E55}"/>
    <hyperlink ref="C28" r:id="rId51" display="https://finance.yahoo.com/quote/SPY/options?date=1655424000&amp;straddle=false" xr:uid="{5BC1615F-A630-4DF9-A3A1-99788AAA0FFE}"/>
    <hyperlink ref="A29" r:id="rId52" display="https://finance.yahoo.com/quote/SPY220630C00430000?p=SPY220630C00430000" xr:uid="{B9D459CA-1FEF-4616-8641-86E9CC1BCC41}"/>
    <hyperlink ref="C29" r:id="rId53" display="https://finance.yahoo.com/quote/SPY/options?date=1656547200&amp;straddle=false" xr:uid="{AD965171-8651-4C6E-890B-44230A267C41}"/>
    <hyperlink ref="A30" r:id="rId54" display="https://finance.yahoo.com/quote/SPY220916C00430000?p=SPY220916C00430000" xr:uid="{C183C43C-A5DE-4C88-B763-835658F8F2CF}"/>
    <hyperlink ref="C30" r:id="rId55" display="https://finance.yahoo.com/quote/SPY/options?date=1663286400&amp;straddle=false" xr:uid="{85B5433D-B877-4F77-9522-441FC54F3E41}"/>
    <hyperlink ref="A31" r:id="rId56" display="https://finance.yahoo.com/quote/SPY221216C00430000?p=SPY221216C00430000" xr:uid="{E16C82EA-D4E2-4B54-92D7-276B34FF8AAB}"/>
    <hyperlink ref="C31" r:id="rId57" display="https://finance.yahoo.com/quote/SPY/options?date=1671148800&amp;straddle=false" xr:uid="{5574AFE2-DC4A-4885-AA0E-EB06C39545BC}"/>
    <hyperlink ref="A32" r:id="rId58" display="https://finance.yahoo.com/quote/SPY230120C00430000?p=SPY230120C00430000" xr:uid="{E5DB7670-2C73-41D6-BC5D-C23AE973BA22}"/>
    <hyperlink ref="C32" r:id="rId59" display="https://finance.yahoo.com/quote/SPY/options?date=1674172800&amp;straddle=false" xr:uid="{A16A9A11-3DF4-439E-BA35-8C529BCAA47B}"/>
    <hyperlink ref="A33" r:id="rId60" display="https://finance.yahoo.com/quote/SPY230317C00430000?p=SPY230317C00430000" xr:uid="{E23BF29B-13D2-43C3-A1EF-3BB515F8C2DD}"/>
    <hyperlink ref="C33" r:id="rId61" display="https://finance.yahoo.com/quote/SPY/options?date=1679011200&amp;straddle=false" xr:uid="{88F19C90-CCB3-4A2F-A188-AC90BEB25091}"/>
    <hyperlink ref="A34" r:id="rId62" display="https://finance.yahoo.com/quote/SPY230616C00430000?p=SPY230616C00430000" xr:uid="{58E63D3A-86CF-405A-80C0-62516C75EDDD}"/>
    <hyperlink ref="C34" r:id="rId63" display="https://finance.yahoo.com/quote/SPY/options?date=1686873600&amp;straddle=false" xr:uid="{848F80B5-C75B-41EB-AB67-ED6C23F7F3B2}"/>
    <hyperlink ref="A35" r:id="rId64" display="https://finance.yahoo.com/quote/SPY231215C00430000?p=SPY231215C00430000" xr:uid="{DB17AAC8-0F3E-4F6F-A326-64EEC3BD6350}"/>
    <hyperlink ref="C35" r:id="rId65" display="https://finance.yahoo.com/quote/SPY/options?date=1702598400&amp;straddle=false" xr:uid="{7073BD4E-AAB9-4D05-86A8-6308885978F8}"/>
    <hyperlink ref="A36" r:id="rId66" display="https://finance.yahoo.com/quote/SPY240119C00430000?p=SPY240119C00430000" xr:uid="{C4690A74-1BF8-4283-BEF7-D3CCBA34707A}"/>
    <hyperlink ref="C36" r:id="rId67" display="https://finance.yahoo.com/quote/SPY/options?date=1705622400&amp;straddle=false" xr:uid="{5744CAB4-FD7E-4A41-B60D-D9C8038E46CF}"/>
    <hyperlink ref="A39" r:id="rId68" display="https://finance.yahoo.com/quote/SPY210922P00430000?p=SPY210922P00430000" xr:uid="{05368CD5-FEF8-4BC8-BEEC-A517D4EF090C}"/>
    <hyperlink ref="C39" r:id="rId69" display="https://finance.yahoo.com/quote/SPY/options?date=1632268800&amp;straddle=false" xr:uid="{CBA9E5C5-76E5-4C45-B641-A14C7BE0F15A}"/>
    <hyperlink ref="A40" r:id="rId70" display="https://finance.yahoo.com/quote/SPY210924P00430000?p=SPY210924P00430000" xr:uid="{248AA5A8-B860-4E9A-9DD3-80645F2272AA}"/>
    <hyperlink ref="C40" r:id="rId71" display="https://finance.yahoo.com/quote/SPY/options?date=1632441600&amp;straddle=false" xr:uid="{2888F225-0E0E-49F0-87CE-AACCB226D436}"/>
    <hyperlink ref="A41" r:id="rId72" display="https://finance.yahoo.com/quote/SPY210927P00430000?p=SPY210927P00430000" xr:uid="{BBEB5BAA-6192-4C41-9BCB-6D3542402EE6}"/>
    <hyperlink ref="C41" r:id="rId73" display="https://finance.yahoo.com/quote/SPY/options?date=1632700800&amp;straddle=false" xr:uid="{E7E06FA9-2F17-4130-ACE1-391630FE37B8}"/>
    <hyperlink ref="A42" r:id="rId74" display="https://finance.yahoo.com/quote/SPY210929P00430000?p=SPY210929P00430000" xr:uid="{E2C1C17A-4964-43B3-9EB4-301DAB853DBC}"/>
    <hyperlink ref="C42" r:id="rId75" display="https://finance.yahoo.com/quote/SPY/options?date=1632873600&amp;straddle=false" xr:uid="{0A00D78F-B386-49D1-B4D7-124F93343A04}"/>
    <hyperlink ref="A43" r:id="rId76" display="https://finance.yahoo.com/quote/SPY210930P00430000?p=SPY210930P00430000" xr:uid="{0384D925-3A12-488A-986B-B47785754B12}"/>
    <hyperlink ref="C43" r:id="rId77" display="https://finance.yahoo.com/quote/SPY/options?date=1632960000&amp;straddle=false" xr:uid="{FDA7D884-B772-49A7-AF36-2469C875A96F}"/>
    <hyperlink ref="A44" r:id="rId78" display="https://finance.yahoo.com/quote/SPY211001P00430000?p=SPY211001P00430000" xr:uid="{A6BD58F0-8E55-4960-A8EC-33F30E857554}"/>
    <hyperlink ref="C44" r:id="rId79" display="https://finance.yahoo.com/quote/SPY/options?date=1633046400&amp;straddle=false" xr:uid="{D8605FE5-E8B1-4919-AE4D-41EA8D75DA0C}"/>
    <hyperlink ref="A45" r:id="rId80" display="https://finance.yahoo.com/quote/SPY211004P00430000?p=SPY211004P00430000" xr:uid="{4EC2B81F-2E95-4EF2-88AA-8D496F724B29}"/>
    <hyperlink ref="C45" r:id="rId81" display="https://finance.yahoo.com/quote/SPY/options?date=1633305600&amp;straddle=false" xr:uid="{1E0B9C2C-9373-498E-90B0-2D714EB33C8B}"/>
    <hyperlink ref="A46" r:id="rId82" display="https://finance.yahoo.com/quote/SPY211006P00430000?p=SPY211006P00430000" xr:uid="{D4B39135-2069-4067-86E8-7E587326DA70}"/>
    <hyperlink ref="C46" r:id="rId83" display="https://finance.yahoo.com/quote/SPY/options?date=1633478400&amp;straddle=false" xr:uid="{29556A7B-B6F7-4876-9E8E-B3743A3950CA}"/>
    <hyperlink ref="A47" r:id="rId84" display="https://finance.yahoo.com/quote/SPY211008P00430000?p=SPY211008P00430000" xr:uid="{22A0A774-DF4B-4D7F-A2E5-47993C765A97}"/>
    <hyperlink ref="C47" r:id="rId85" display="https://finance.yahoo.com/quote/SPY/options?date=1633651200&amp;straddle=false" xr:uid="{3241032D-3E03-4A76-8ACC-1D2308F1C5C2}"/>
    <hyperlink ref="A48" r:id="rId86" display="https://finance.yahoo.com/quote/SPY211011P00430000?p=SPY211011P00430000" xr:uid="{C4B8C82F-B37C-4976-BD11-6667FBE59405}"/>
    <hyperlink ref="C48" r:id="rId87" display="https://finance.yahoo.com/quote/SPY/options?date=1633910400&amp;straddle=false" xr:uid="{1607DBD6-167D-45A1-911E-0E47424FE9CD}"/>
    <hyperlink ref="A49" r:id="rId88" display="https://finance.yahoo.com/quote/SPY211013P00430000?p=SPY211013P00430000" xr:uid="{A3E651D2-5BD0-4928-B243-E59165D78377}"/>
    <hyperlink ref="C49" r:id="rId89" display="https://finance.yahoo.com/quote/SPY/options?date=1634083200&amp;straddle=false" xr:uid="{10FB8825-3236-4B83-9842-C063B56213F6}"/>
    <hyperlink ref="A50" r:id="rId90" display="https://finance.yahoo.com/quote/SPY211015P00430000?p=SPY211015P00430000" xr:uid="{E6B6E4F9-B18D-496D-896B-BFE9B0C75742}"/>
    <hyperlink ref="C50" r:id="rId91" display="https://finance.yahoo.com/quote/SPY/options?date=1634256000&amp;straddle=false" xr:uid="{527463B5-89DF-47D0-B1CB-AAF74E0D19D2}"/>
    <hyperlink ref="A51" r:id="rId92" display="https://finance.yahoo.com/quote/SPY211018P00430000?p=SPY211018P00430000" xr:uid="{74A62883-6D98-4281-8E8B-3D28A8580DCE}"/>
    <hyperlink ref="C51" r:id="rId93" display="https://finance.yahoo.com/quote/SPY/options?date=1634515200&amp;straddle=false" xr:uid="{775D90B1-BCBB-44C3-A0D6-B892117FD78E}"/>
    <hyperlink ref="A52" r:id="rId94" display="https://finance.yahoo.com/quote/SPY211020P00430000?p=SPY211020P00430000" xr:uid="{DF10C1F1-F7F4-47EF-AAAC-9AE03E939F4C}"/>
    <hyperlink ref="C52" r:id="rId95" display="https://finance.yahoo.com/quote/SPY/options?date=1634688000&amp;straddle=false" xr:uid="{E3D7F763-D697-44E1-AC3B-095F74F67CD6}"/>
    <hyperlink ref="A53" r:id="rId96" display="https://finance.yahoo.com/quote/SPY211022P00430000?p=SPY211022P00430000" xr:uid="{F609F2F9-8A78-4D42-BE24-73C32FFCDCB6}"/>
    <hyperlink ref="C53" r:id="rId97" display="https://finance.yahoo.com/quote/SPY/options?date=1634860800&amp;straddle=false" xr:uid="{71A35843-9C81-47D5-B64D-8014FA511A6A}"/>
    <hyperlink ref="A54" r:id="rId98" display="https://finance.yahoo.com/quote/SPY211025P00430000?p=SPY211025P00430000" xr:uid="{FA34D9CD-5D0D-4414-92BB-6679F05E2D4F}"/>
    <hyperlink ref="C54" r:id="rId99" display="https://finance.yahoo.com/quote/SPY/options?date=1635120000&amp;straddle=false" xr:uid="{DE516310-1AFD-421B-AD9E-BEEE1E3D28FC}"/>
    <hyperlink ref="A55" r:id="rId100" display="https://finance.yahoo.com/quote/SPY211029P00430000?p=SPY211029P00430000" xr:uid="{0ACB45DB-C8B8-4C90-BC86-26F849FCB363}"/>
    <hyperlink ref="C55" r:id="rId101" display="https://finance.yahoo.com/quote/SPY/options?date=1635465600&amp;straddle=false" xr:uid="{2081AD21-B9D8-481E-8763-2D75CB1B1663}"/>
    <hyperlink ref="A56" r:id="rId102" display="https://finance.yahoo.com/quote/SPY211119P00430000?p=SPY211119P00430000" xr:uid="{2471DC85-8C48-41A1-8799-A9851B8EA7C0}"/>
    <hyperlink ref="C56" r:id="rId103" display="https://finance.yahoo.com/quote/SPY/options?date=1637280000&amp;straddle=false" xr:uid="{272C4B64-F15B-4883-BC56-94A594AD2EFE}"/>
    <hyperlink ref="A57" r:id="rId104" display="https://finance.yahoo.com/quote/SPY211217P00430000?p=SPY211217P00430000" xr:uid="{8E3D434B-90BE-4CED-B80E-992185422E33}"/>
    <hyperlink ref="C57" r:id="rId105" display="https://finance.yahoo.com/quote/SPY/options?date=1639699200&amp;straddle=false" xr:uid="{291E738C-D732-4689-B874-44877A271832}"/>
    <hyperlink ref="A58" r:id="rId106" display="https://finance.yahoo.com/quote/SPY211231P00430000?p=SPY211231P00430000" xr:uid="{72D701CD-2A53-4F69-942A-605984881B18}"/>
    <hyperlink ref="C58" r:id="rId107" display="https://finance.yahoo.com/quote/SPY/options?date=1640908800&amp;straddle=false" xr:uid="{A24865F1-2348-4143-AFA1-5F33A783D3D0}"/>
    <hyperlink ref="A59" r:id="rId108" display="https://finance.yahoo.com/quote/SPY220121P00430000?p=SPY220121P00430000" xr:uid="{9F337AD8-CFE4-4E17-9078-6E57894206AE}"/>
    <hyperlink ref="C59" r:id="rId109" display="https://finance.yahoo.com/quote/SPY/options?date=1642723200&amp;straddle=false" xr:uid="{D7416737-CFB9-4E5F-B9F2-70B3E46666A0}"/>
    <hyperlink ref="A60" r:id="rId110" display="https://finance.yahoo.com/quote/SPY220218P00430000?p=SPY220218P00430000" xr:uid="{D042C5CC-42DE-4214-86E5-4A76D4C77B48}"/>
    <hyperlink ref="C60" r:id="rId111" display="https://finance.yahoo.com/quote/SPY/options?date=1645142400&amp;straddle=false" xr:uid="{E260B999-7CB2-44F9-A4CD-96BCCA245EEF}"/>
    <hyperlink ref="A61" r:id="rId112" display="https://finance.yahoo.com/quote/SPY220318P00430000?p=SPY220318P00430000" xr:uid="{01D1EEC1-22BC-43F3-99BF-71F1B30FDD44}"/>
    <hyperlink ref="C61" r:id="rId113" display="https://finance.yahoo.com/quote/SPY/options?date=1647561600&amp;straddle=false" xr:uid="{4234511D-3F68-4980-9F60-A3113BF04C3F}"/>
    <hyperlink ref="A62" r:id="rId114" display="https://finance.yahoo.com/quote/SPY220331P00430000?p=SPY220331P00430000" xr:uid="{8B8B3DEC-3E0E-4F62-BB89-651B6F075B7B}"/>
    <hyperlink ref="C62" r:id="rId115" display="https://finance.yahoo.com/quote/SPY/options?date=1648684800&amp;straddle=false" xr:uid="{7D7B1CBB-43CC-4BF2-B74E-9F368C8B8134}"/>
    <hyperlink ref="A63" r:id="rId116" display="https://finance.yahoo.com/quote/SPY220617P00430000?p=SPY220617P00430000" xr:uid="{CC069055-E133-457F-AEE7-E6BD89D4DC7D}"/>
    <hyperlink ref="C63" r:id="rId117" display="https://finance.yahoo.com/quote/SPY/options?date=1655424000&amp;straddle=false" xr:uid="{A2859F51-A435-486D-8A43-71687CE62F22}"/>
    <hyperlink ref="A64" r:id="rId118" display="https://finance.yahoo.com/quote/SPY220630P00430000?p=SPY220630P00430000" xr:uid="{112345D6-AE6B-4E92-88B3-89843AAF773F}"/>
    <hyperlink ref="C64" r:id="rId119" display="https://finance.yahoo.com/quote/SPY/options?date=1656547200&amp;straddle=false" xr:uid="{70AAE1DC-C88E-4525-9F1F-3CD539BBEC72}"/>
    <hyperlink ref="A65" r:id="rId120" display="https://finance.yahoo.com/quote/SPY220916P00430000?p=SPY220916P00430000" xr:uid="{2598B109-EBE7-4F08-A018-9327F5513AD5}"/>
    <hyperlink ref="C65" r:id="rId121" display="https://finance.yahoo.com/quote/SPY/options?date=1663286400&amp;straddle=false" xr:uid="{EBB48C28-4FC6-41B4-B43C-9B222D389103}"/>
    <hyperlink ref="A66" r:id="rId122" display="https://finance.yahoo.com/quote/SPY221216P00430000?p=SPY221216P00430000" xr:uid="{52817411-DD2E-4E20-A2B4-2D9C100BA23F}"/>
    <hyperlink ref="C66" r:id="rId123" display="https://finance.yahoo.com/quote/SPY/options?date=1671148800&amp;straddle=false" xr:uid="{D7D5FC3E-60EB-4336-9629-8023CCE976C8}"/>
    <hyperlink ref="A67" r:id="rId124" display="https://finance.yahoo.com/quote/SPY230120P00430000?p=SPY230120P00430000" xr:uid="{CC98D477-6D2C-4140-A5F8-55EA05784672}"/>
    <hyperlink ref="C67" r:id="rId125" display="https://finance.yahoo.com/quote/SPY/options?date=1674172800&amp;straddle=false" xr:uid="{6E0C9F0D-1D65-4AFE-AC51-B65C40BB4660}"/>
    <hyperlink ref="A68" r:id="rId126" display="https://finance.yahoo.com/quote/SPY230317P00430000?p=SPY230317P00430000" xr:uid="{9506B87C-B42E-4628-B5D1-648FCB424A1D}"/>
    <hyperlink ref="C68" r:id="rId127" display="https://finance.yahoo.com/quote/SPY/options?date=1679011200&amp;straddle=false" xr:uid="{BE848D0F-A437-44DB-8417-7457E18A08CB}"/>
    <hyperlink ref="A69" r:id="rId128" display="https://finance.yahoo.com/quote/SPY230616P00430000?p=SPY230616P00430000" xr:uid="{4613225E-6166-4D0A-851B-BC88ACB75523}"/>
    <hyperlink ref="C69" r:id="rId129" display="https://finance.yahoo.com/quote/SPY/options?date=1686873600&amp;straddle=false" xr:uid="{2A2EA049-90C0-44A8-A81D-67FF11B056A0}"/>
    <hyperlink ref="A70" r:id="rId130" display="https://finance.yahoo.com/quote/SPY231215P00430000?p=SPY231215P00430000" xr:uid="{18168399-09F1-4380-BD04-7EB86003368F}"/>
    <hyperlink ref="C70" r:id="rId131" display="https://finance.yahoo.com/quote/SPY/options?date=1702598400&amp;straddle=false" xr:uid="{2FE3BD4A-B281-42BD-90E2-70210A5039F8}"/>
    <hyperlink ref="A71" r:id="rId132" display="https://finance.yahoo.com/quote/SPY240119P00430000?p=SPY240119P00430000" xr:uid="{2B66D3A1-F698-4884-A18B-116119E1082B}"/>
    <hyperlink ref="C71" r:id="rId133" display="https://finance.yahoo.com/quote/SPY/options?date=1705622400&amp;straddle=false" xr:uid="{E76FF1F5-7959-4E13-B0CB-7FD7ED68A69C}"/>
  </hyperlinks>
  <pageMargins left="0.7" right="0.7" top="0.75" bottom="0.75" header="0.3" footer="0.3"/>
  <drawing r:id="rId13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DC31-B796-4F0E-B831-23C0487A0908}">
  <dimension ref="A1:K71"/>
  <sheetViews>
    <sheetView topLeftCell="B1" workbookViewId="0">
      <pane ySplit="3" topLeftCell="A42" activePane="bottomLeft" state="frozen"/>
      <selection activeCell="B1" sqref="B1"/>
      <selection pane="bottomLeft" activeCell="F63" sqref="F63"/>
    </sheetView>
  </sheetViews>
  <sheetFormatPr defaultColWidth="9.1796875" defaultRowHeight="14.5" x14ac:dyDescent="0.35"/>
  <cols>
    <col min="1" max="1" width="32.7265625" style="1" customWidth="1"/>
    <col min="2" max="2" width="27.26953125" style="1" customWidth="1"/>
    <col min="3" max="11" width="15.453125" style="1" customWidth="1"/>
  </cols>
  <sheetData>
    <row r="1" spans="1:11" ht="15" customHeight="1" x14ac:dyDescent="0.35">
      <c r="A1" s="66" t="s">
        <v>514</v>
      </c>
      <c r="B1"/>
      <c r="C1"/>
      <c r="D1"/>
      <c r="E1"/>
      <c r="F1"/>
      <c r="G1"/>
      <c r="H1"/>
      <c r="I1"/>
      <c r="J1"/>
      <c r="K1"/>
    </row>
    <row r="2" spans="1:11" ht="15" customHeight="1" thickBot="1" x14ac:dyDescent="0.4">
      <c r="A2" s="67" t="s">
        <v>359</v>
      </c>
      <c r="B2" s="67"/>
      <c r="C2" s="67"/>
      <c r="D2" s="67"/>
      <c r="E2" s="67"/>
      <c r="F2" s="67"/>
      <c r="G2" s="67"/>
      <c r="H2" s="67"/>
      <c r="I2" s="67"/>
      <c r="J2" s="67"/>
      <c r="K2" s="67"/>
    </row>
    <row r="3" spans="1:11" ht="15" customHeight="1" thickBot="1" x14ac:dyDescent="0.4">
      <c r="A3" s="113" t="s">
        <v>0</v>
      </c>
      <c r="B3" s="106" t="s">
        <v>1</v>
      </c>
      <c r="C3" s="106" t="s">
        <v>22</v>
      </c>
      <c r="D3" s="106" t="s">
        <v>3</v>
      </c>
      <c r="E3" s="106" t="s">
        <v>4</v>
      </c>
      <c r="F3" s="106" t="s">
        <v>5</v>
      </c>
      <c r="G3" s="106" t="s">
        <v>6</v>
      </c>
      <c r="H3" s="106" t="s">
        <v>7</v>
      </c>
      <c r="I3" s="106" t="s">
        <v>8</v>
      </c>
      <c r="J3" s="106" t="s">
        <v>9</v>
      </c>
      <c r="K3" s="118" t="s">
        <v>10</v>
      </c>
    </row>
    <row r="4" spans="1:11" ht="15" customHeight="1" thickBot="1" x14ac:dyDescent="0.4">
      <c r="A4" s="114" t="s">
        <v>515</v>
      </c>
      <c r="B4" s="82" t="s">
        <v>224</v>
      </c>
      <c r="C4" s="103">
        <v>44461</v>
      </c>
      <c r="D4" s="88">
        <v>1.75</v>
      </c>
      <c r="E4" s="88">
        <v>1.72</v>
      </c>
      <c r="F4" s="88">
        <v>1.74</v>
      </c>
      <c r="G4" s="91">
        <v>-1.35</v>
      </c>
      <c r="H4" s="97">
        <v>-0.4355</v>
      </c>
      <c r="I4" s="83">
        <v>57687</v>
      </c>
      <c r="J4" s="83">
        <v>8715</v>
      </c>
      <c r="K4" s="119">
        <v>0.21190000000000001</v>
      </c>
    </row>
    <row r="5" spans="1:11" ht="15" customHeight="1" thickBot="1" x14ac:dyDescent="0.4">
      <c r="A5" s="115" t="s">
        <v>516</v>
      </c>
      <c r="B5" s="84" t="s">
        <v>224</v>
      </c>
      <c r="C5" s="104">
        <v>44463</v>
      </c>
      <c r="D5" s="89">
        <v>3.2</v>
      </c>
      <c r="E5" s="89">
        <v>3.16</v>
      </c>
      <c r="F5" s="89">
        <v>3.18</v>
      </c>
      <c r="G5" s="92">
        <v>-1.1200000000000001</v>
      </c>
      <c r="H5" s="98">
        <v>-0.25929999999999997</v>
      </c>
      <c r="I5" s="85">
        <v>10040</v>
      </c>
      <c r="J5" s="85">
        <v>5245</v>
      </c>
      <c r="K5" s="120">
        <v>0.2142</v>
      </c>
    </row>
    <row r="6" spans="1:11" ht="15" customHeight="1" thickBot="1" x14ac:dyDescent="0.4">
      <c r="A6" s="116" t="s">
        <v>517</v>
      </c>
      <c r="B6" s="86" t="s">
        <v>224</v>
      </c>
      <c r="C6" s="105">
        <v>44466</v>
      </c>
      <c r="D6" s="90">
        <v>3.84</v>
      </c>
      <c r="E6" s="90">
        <v>3.8</v>
      </c>
      <c r="F6" s="90">
        <v>3.84</v>
      </c>
      <c r="G6" s="93">
        <v>-0.93</v>
      </c>
      <c r="H6" s="99">
        <v>-0.19500000000000001</v>
      </c>
      <c r="I6" s="87">
        <v>2763</v>
      </c>
      <c r="J6" s="87">
        <v>1264</v>
      </c>
      <c r="K6" s="121">
        <v>0.18129999999999999</v>
      </c>
    </row>
    <row r="7" spans="1:11" ht="15" customHeight="1" thickBot="1" x14ac:dyDescent="0.4">
      <c r="A7" s="115" t="s">
        <v>518</v>
      </c>
      <c r="B7" s="84" t="s">
        <v>224</v>
      </c>
      <c r="C7" s="104">
        <v>44468</v>
      </c>
      <c r="D7" s="89">
        <v>4.67</v>
      </c>
      <c r="E7" s="89">
        <v>4.63</v>
      </c>
      <c r="F7" s="89">
        <v>4.66</v>
      </c>
      <c r="G7" s="92">
        <v>-1.22</v>
      </c>
      <c r="H7" s="98">
        <v>-0.20710000000000001</v>
      </c>
      <c r="I7" s="85">
        <v>1056</v>
      </c>
      <c r="J7" s="85">
        <v>200</v>
      </c>
      <c r="K7" s="120">
        <v>0.189</v>
      </c>
    </row>
    <row r="8" spans="1:11" ht="15" customHeight="1" thickBot="1" x14ac:dyDescent="0.4">
      <c r="A8" s="116" t="s">
        <v>519</v>
      </c>
      <c r="B8" s="86" t="s">
        <v>84</v>
      </c>
      <c r="C8" s="105">
        <v>44469</v>
      </c>
      <c r="D8" s="90">
        <v>5.0599999999999996</v>
      </c>
      <c r="E8" s="90">
        <v>5.0599999999999996</v>
      </c>
      <c r="F8" s="90">
        <v>5.09</v>
      </c>
      <c r="G8" s="93">
        <v>-1.03</v>
      </c>
      <c r="H8" s="99">
        <v>-0.1691</v>
      </c>
      <c r="I8" s="87">
        <v>3882</v>
      </c>
      <c r="J8" s="87">
        <v>5385</v>
      </c>
      <c r="K8" s="121">
        <v>0.19400000000000001</v>
      </c>
    </row>
    <row r="9" spans="1:11" ht="15" customHeight="1" thickBot="1" x14ac:dyDescent="0.4">
      <c r="A9" s="115" t="s">
        <v>520</v>
      </c>
      <c r="B9" s="84" t="s">
        <v>87</v>
      </c>
      <c r="C9" s="104">
        <v>44470</v>
      </c>
      <c r="D9" s="89">
        <v>5.53</v>
      </c>
      <c r="E9" s="89">
        <v>5.46</v>
      </c>
      <c r="F9" s="89">
        <v>5.49</v>
      </c>
      <c r="G9" s="92">
        <v>-0.93</v>
      </c>
      <c r="H9" s="98">
        <v>-0.14399999999999999</v>
      </c>
      <c r="I9" s="85">
        <v>2100</v>
      </c>
      <c r="J9" s="85">
        <v>1421</v>
      </c>
      <c r="K9" s="120">
        <v>0.19800000000000001</v>
      </c>
    </row>
    <row r="10" spans="1:11" ht="15" customHeight="1" thickBot="1" x14ac:dyDescent="0.4">
      <c r="A10" s="116" t="s">
        <v>521</v>
      </c>
      <c r="B10" s="86" t="s">
        <v>114</v>
      </c>
      <c r="C10" s="105">
        <v>44473</v>
      </c>
      <c r="D10" s="90">
        <v>5.97</v>
      </c>
      <c r="E10" s="90">
        <v>5.84</v>
      </c>
      <c r="F10" s="90">
        <v>5.89</v>
      </c>
      <c r="G10" s="93">
        <v>-1</v>
      </c>
      <c r="H10" s="99">
        <v>-0.14349999999999999</v>
      </c>
      <c r="I10" s="87">
        <v>210</v>
      </c>
      <c r="J10" s="87">
        <v>222</v>
      </c>
      <c r="K10" s="121">
        <v>0.18590000000000001</v>
      </c>
    </row>
    <row r="11" spans="1:11" ht="15" customHeight="1" thickBot="1" x14ac:dyDescent="0.4">
      <c r="A11" s="115" t="s">
        <v>522</v>
      </c>
      <c r="B11" s="84" t="s">
        <v>78</v>
      </c>
      <c r="C11" s="104">
        <v>44475</v>
      </c>
      <c r="D11" s="89">
        <v>7.08</v>
      </c>
      <c r="E11" s="89">
        <v>6.44</v>
      </c>
      <c r="F11" s="89">
        <v>6.48</v>
      </c>
      <c r="G11" s="92">
        <v>-0.4</v>
      </c>
      <c r="H11" s="98">
        <v>-5.3499999999999999E-2</v>
      </c>
      <c r="I11" s="85">
        <v>433</v>
      </c>
      <c r="J11" s="85">
        <v>58</v>
      </c>
      <c r="K11" s="120">
        <v>0.18990000000000001</v>
      </c>
    </row>
    <row r="12" spans="1:11" ht="15" customHeight="1" thickBot="1" x14ac:dyDescent="0.4">
      <c r="A12" s="116" t="s">
        <v>523</v>
      </c>
      <c r="B12" s="86" t="s">
        <v>110</v>
      </c>
      <c r="C12" s="105">
        <v>44477</v>
      </c>
      <c r="D12" s="90">
        <v>7</v>
      </c>
      <c r="E12" s="90">
        <v>7</v>
      </c>
      <c r="F12" s="90">
        <v>7.03</v>
      </c>
      <c r="G12" s="93">
        <v>-0.9</v>
      </c>
      <c r="H12" s="99">
        <v>-0.1139</v>
      </c>
      <c r="I12" s="87">
        <v>474</v>
      </c>
      <c r="J12" s="87">
        <v>752</v>
      </c>
      <c r="K12" s="121">
        <v>0.19309999999999999</v>
      </c>
    </row>
    <row r="13" spans="1:11" ht="15" customHeight="1" thickBot="1" x14ac:dyDescent="0.4">
      <c r="A13" s="115" t="s">
        <v>524</v>
      </c>
      <c r="B13" s="84" t="s">
        <v>127</v>
      </c>
      <c r="C13" s="104">
        <v>44480</v>
      </c>
      <c r="D13" s="89">
        <v>8.24</v>
      </c>
      <c r="E13" s="89">
        <v>7.29</v>
      </c>
      <c r="F13" s="89">
        <v>7.34</v>
      </c>
      <c r="G13" s="92">
        <v>-0.03</v>
      </c>
      <c r="H13" s="98">
        <v>-3.5999999999999999E-3</v>
      </c>
      <c r="I13" s="85">
        <v>165</v>
      </c>
      <c r="J13" s="85">
        <v>208</v>
      </c>
      <c r="K13" s="120">
        <v>0.1857</v>
      </c>
    </row>
    <row r="14" spans="1:11" ht="15" customHeight="1" thickBot="1" x14ac:dyDescent="0.4">
      <c r="A14" s="116" t="s">
        <v>525</v>
      </c>
      <c r="B14" s="86" t="s">
        <v>121</v>
      </c>
      <c r="C14" s="105">
        <v>44482</v>
      </c>
      <c r="D14" s="90">
        <v>8</v>
      </c>
      <c r="E14" s="90">
        <v>7.75</v>
      </c>
      <c r="F14" s="90">
        <v>7.8</v>
      </c>
      <c r="G14" s="93">
        <v>-0.53</v>
      </c>
      <c r="H14" s="99">
        <v>-6.2100000000000002E-2</v>
      </c>
      <c r="I14" s="87">
        <v>71</v>
      </c>
      <c r="J14" s="87">
        <v>90</v>
      </c>
      <c r="K14" s="121">
        <v>0.18790000000000001</v>
      </c>
    </row>
    <row r="15" spans="1:11" ht="15" customHeight="1" thickBot="1" x14ac:dyDescent="0.4">
      <c r="A15" s="115" t="s">
        <v>526</v>
      </c>
      <c r="B15" s="84" t="s">
        <v>68</v>
      </c>
      <c r="C15" s="104">
        <v>44484</v>
      </c>
      <c r="D15" s="89">
        <v>8.1999999999999993</v>
      </c>
      <c r="E15" s="89">
        <v>8.1999999999999993</v>
      </c>
      <c r="F15" s="89">
        <v>8.23</v>
      </c>
      <c r="G15" s="92">
        <v>-0.89</v>
      </c>
      <c r="H15" s="98">
        <v>-9.7900000000000001E-2</v>
      </c>
      <c r="I15" s="85">
        <v>3437</v>
      </c>
      <c r="J15" s="85">
        <v>6532</v>
      </c>
      <c r="K15" s="120">
        <v>0.18959999999999999</v>
      </c>
    </row>
    <row r="16" spans="1:11" ht="15" customHeight="1" thickBot="1" x14ac:dyDescent="0.4">
      <c r="A16" s="116" t="s">
        <v>527</v>
      </c>
      <c r="B16" s="86" t="s">
        <v>275</v>
      </c>
      <c r="C16" s="105">
        <v>44487</v>
      </c>
      <c r="D16" s="90">
        <v>8.8800000000000008</v>
      </c>
      <c r="E16" s="90">
        <v>8.4499999999999993</v>
      </c>
      <c r="F16" s="90">
        <v>8.52</v>
      </c>
      <c r="G16" s="93">
        <v>-0.76</v>
      </c>
      <c r="H16" s="99">
        <v>-7.8799999999999995E-2</v>
      </c>
      <c r="I16" s="87">
        <v>83</v>
      </c>
      <c r="J16" s="87">
        <v>80</v>
      </c>
      <c r="K16" s="121">
        <v>0.18490000000000001</v>
      </c>
    </row>
    <row r="17" spans="1:11" ht="15" customHeight="1" thickBot="1" x14ac:dyDescent="0.4">
      <c r="A17" s="115" t="s">
        <v>528</v>
      </c>
      <c r="B17" s="84" t="s">
        <v>118</v>
      </c>
      <c r="C17" s="104">
        <v>44489</v>
      </c>
      <c r="D17" s="89">
        <v>9.77</v>
      </c>
      <c r="E17" s="89">
        <v>8.8699999999999992</v>
      </c>
      <c r="F17" s="89">
        <v>8.93</v>
      </c>
      <c r="G17" s="92">
        <v>-0.11</v>
      </c>
      <c r="H17" s="98">
        <v>-1.11E-2</v>
      </c>
      <c r="I17" s="85">
        <v>111</v>
      </c>
      <c r="J17" s="85">
        <v>153</v>
      </c>
      <c r="K17" s="120">
        <v>0.18679999999999999</v>
      </c>
    </row>
    <row r="18" spans="1:11" ht="15" customHeight="1" thickBot="1" x14ac:dyDescent="0.4">
      <c r="A18" s="116" t="s">
        <v>529</v>
      </c>
      <c r="B18" s="86" t="s">
        <v>114</v>
      </c>
      <c r="C18" s="105">
        <v>44491</v>
      </c>
      <c r="D18" s="90">
        <v>9.4</v>
      </c>
      <c r="E18" s="90">
        <v>9.2899999999999991</v>
      </c>
      <c r="F18" s="90">
        <v>9.32</v>
      </c>
      <c r="G18" s="93">
        <v>-0.55000000000000004</v>
      </c>
      <c r="H18" s="99">
        <v>-5.5300000000000002E-2</v>
      </c>
      <c r="I18" s="87">
        <v>168</v>
      </c>
      <c r="J18" s="87">
        <v>124</v>
      </c>
      <c r="K18" s="121">
        <v>0.18840000000000001</v>
      </c>
    </row>
    <row r="19" spans="1:11" ht="15" customHeight="1" thickBot="1" x14ac:dyDescent="0.4">
      <c r="A19" s="115" t="s">
        <v>81</v>
      </c>
      <c r="B19" s="84" t="s">
        <v>82</v>
      </c>
      <c r="C19" s="104">
        <v>44498</v>
      </c>
      <c r="D19" s="89">
        <v>10.41</v>
      </c>
      <c r="E19" s="89">
        <v>10.31</v>
      </c>
      <c r="F19" s="89">
        <v>10.36</v>
      </c>
      <c r="G19" s="92">
        <v>-0.92</v>
      </c>
      <c r="H19" s="98">
        <v>-8.1199999999999994E-2</v>
      </c>
      <c r="I19" s="85">
        <v>81</v>
      </c>
      <c r="J19" s="85">
        <v>268</v>
      </c>
      <c r="K19" s="120">
        <v>0.1888</v>
      </c>
    </row>
    <row r="20" spans="1:11" ht="15" customHeight="1" thickBot="1" x14ac:dyDescent="0.4">
      <c r="A20" s="116" t="s">
        <v>530</v>
      </c>
      <c r="B20" s="86" t="s">
        <v>121</v>
      </c>
      <c r="C20" s="105">
        <v>44519</v>
      </c>
      <c r="D20" s="90">
        <v>13.17</v>
      </c>
      <c r="E20" s="90">
        <v>13</v>
      </c>
      <c r="F20" s="90">
        <v>13.04</v>
      </c>
      <c r="G20" s="93">
        <v>-0.67</v>
      </c>
      <c r="H20" s="99">
        <v>-4.8399999999999999E-2</v>
      </c>
      <c r="I20" s="87">
        <v>1049</v>
      </c>
      <c r="J20" s="87">
        <v>3839</v>
      </c>
      <c r="K20" s="121">
        <v>0.19</v>
      </c>
    </row>
    <row r="21" spans="1:11" ht="15" customHeight="1" thickBot="1" x14ac:dyDescent="0.4">
      <c r="A21" s="115" t="s">
        <v>531</v>
      </c>
      <c r="B21" s="84" t="s">
        <v>164</v>
      </c>
      <c r="C21" s="104">
        <v>44547</v>
      </c>
      <c r="D21" s="89">
        <v>15.82</v>
      </c>
      <c r="E21" s="89">
        <v>15.65</v>
      </c>
      <c r="F21" s="89">
        <v>15.71</v>
      </c>
      <c r="G21" s="92">
        <v>-0.88</v>
      </c>
      <c r="H21" s="98">
        <v>-5.2699999999999997E-2</v>
      </c>
      <c r="I21" s="85">
        <v>868</v>
      </c>
      <c r="J21" s="85">
        <v>936</v>
      </c>
      <c r="K21" s="120">
        <v>0.18809999999999999</v>
      </c>
    </row>
    <row r="22" spans="1:11" ht="15" customHeight="1" thickBot="1" x14ac:dyDescent="0.4">
      <c r="A22" s="116" t="s">
        <v>532</v>
      </c>
      <c r="B22" s="86" t="s">
        <v>533</v>
      </c>
      <c r="C22" s="105">
        <v>44561</v>
      </c>
      <c r="D22" s="90">
        <v>17.63</v>
      </c>
      <c r="E22" s="90">
        <v>16.71</v>
      </c>
      <c r="F22" s="90">
        <v>16.77</v>
      </c>
      <c r="G22" s="94">
        <v>0.19</v>
      </c>
      <c r="H22" s="100">
        <v>1.09E-2</v>
      </c>
      <c r="I22" s="87">
        <v>36</v>
      </c>
      <c r="J22" s="87">
        <v>251</v>
      </c>
      <c r="K22" s="121">
        <v>0.1862</v>
      </c>
    </row>
    <row r="23" spans="1:11" ht="15" customHeight="1" thickBot="1" x14ac:dyDescent="0.4">
      <c r="A23" s="115" t="s">
        <v>534</v>
      </c>
      <c r="B23" s="84" t="s">
        <v>282</v>
      </c>
      <c r="C23" s="104">
        <v>44582</v>
      </c>
      <c r="D23" s="89">
        <v>19.39</v>
      </c>
      <c r="E23" s="89">
        <v>18.53</v>
      </c>
      <c r="F23" s="89">
        <v>18.59</v>
      </c>
      <c r="G23" s="95">
        <v>0.06</v>
      </c>
      <c r="H23" s="101">
        <v>3.0999999999999999E-3</v>
      </c>
      <c r="I23" s="85">
        <v>330</v>
      </c>
      <c r="J23" s="85">
        <v>4040</v>
      </c>
      <c r="K23" s="120">
        <v>0.18770000000000001</v>
      </c>
    </row>
    <row r="24" spans="1:11" ht="15" customHeight="1" thickBot="1" x14ac:dyDescent="0.4">
      <c r="A24" s="116" t="s">
        <v>535</v>
      </c>
      <c r="B24" s="86" t="s">
        <v>536</v>
      </c>
      <c r="C24" s="105">
        <v>44610</v>
      </c>
      <c r="D24" s="90">
        <v>21.57</v>
      </c>
      <c r="E24" s="90">
        <v>21.1</v>
      </c>
      <c r="F24" s="90">
        <v>21.17</v>
      </c>
      <c r="G24" s="96">
        <v>0</v>
      </c>
      <c r="H24" s="102" t="s">
        <v>11</v>
      </c>
      <c r="I24" s="87">
        <v>20</v>
      </c>
      <c r="J24" s="87">
        <v>106</v>
      </c>
      <c r="K24" s="121">
        <v>0.1925</v>
      </c>
    </row>
    <row r="25" spans="1:11" ht="15" customHeight="1" thickBot="1" x14ac:dyDescent="0.4">
      <c r="A25" s="115" t="s">
        <v>537</v>
      </c>
      <c r="B25" s="84" t="s">
        <v>467</v>
      </c>
      <c r="C25" s="104">
        <v>44638</v>
      </c>
      <c r="D25" s="89">
        <v>24.5</v>
      </c>
      <c r="E25" s="89">
        <v>23.04</v>
      </c>
      <c r="F25" s="89">
        <v>23.25</v>
      </c>
      <c r="G25" s="95">
        <v>1.19</v>
      </c>
      <c r="H25" s="101">
        <v>5.11E-2</v>
      </c>
      <c r="I25" s="85">
        <v>2</v>
      </c>
      <c r="J25" s="85">
        <v>3026</v>
      </c>
      <c r="K25" s="120">
        <v>0.19400000000000001</v>
      </c>
    </row>
    <row r="26" spans="1:11" ht="15" customHeight="1" thickBot="1" x14ac:dyDescent="0.4">
      <c r="A26" s="116" t="s">
        <v>538</v>
      </c>
      <c r="B26" s="86" t="s">
        <v>539</v>
      </c>
      <c r="C26" s="105">
        <v>44651</v>
      </c>
      <c r="D26" s="90">
        <v>25.63</v>
      </c>
      <c r="E26" s="90">
        <v>23.69</v>
      </c>
      <c r="F26" s="90">
        <v>24.09</v>
      </c>
      <c r="G26" s="94">
        <v>0.68</v>
      </c>
      <c r="H26" s="100">
        <v>2.7300000000000001E-2</v>
      </c>
      <c r="I26" s="87">
        <v>3</v>
      </c>
      <c r="J26" s="87">
        <v>166</v>
      </c>
      <c r="K26" s="121">
        <v>0.19400000000000001</v>
      </c>
    </row>
    <row r="27" spans="1:11" ht="15" customHeight="1" thickBot="1" x14ac:dyDescent="0.4">
      <c r="A27" s="115" t="s">
        <v>540</v>
      </c>
      <c r="B27" s="84" t="s">
        <v>541</v>
      </c>
      <c r="C27" s="104">
        <v>44729</v>
      </c>
      <c r="D27" s="89">
        <v>29.84</v>
      </c>
      <c r="E27" s="89">
        <v>28.62</v>
      </c>
      <c r="F27" s="89">
        <v>28.99</v>
      </c>
      <c r="G27" s="92">
        <v>-0.49</v>
      </c>
      <c r="H27" s="98">
        <v>-1.6199999999999999E-2</v>
      </c>
      <c r="I27" s="85">
        <v>4</v>
      </c>
      <c r="J27" s="85">
        <v>386</v>
      </c>
      <c r="K27" s="120">
        <v>0.19650000000000001</v>
      </c>
    </row>
    <row r="28" spans="1:11" ht="15" customHeight="1" thickBot="1" x14ac:dyDescent="0.4">
      <c r="A28" s="116" t="s">
        <v>542</v>
      </c>
      <c r="B28" s="86" t="s">
        <v>543</v>
      </c>
      <c r="C28" s="105">
        <v>44742</v>
      </c>
      <c r="D28" s="90">
        <v>29.5</v>
      </c>
      <c r="E28" s="90">
        <v>29.14</v>
      </c>
      <c r="F28" s="90">
        <v>29.93</v>
      </c>
      <c r="G28" s="96">
        <v>0</v>
      </c>
      <c r="H28" s="102" t="s">
        <v>11</v>
      </c>
      <c r="I28" s="87">
        <v>18</v>
      </c>
      <c r="J28" s="87">
        <v>56</v>
      </c>
      <c r="K28" s="121">
        <v>0.1981</v>
      </c>
    </row>
    <row r="29" spans="1:11" ht="15" customHeight="1" thickBot="1" x14ac:dyDescent="0.4">
      <c r="A29" s="117" t="s">
        <v>544</v>
      </c>
      <c r="B29" s="107" t="s">
        <v>376</v>
      </c>
      <c r="C29" s="108">
        <v>44820</v>
      </c>
      <c r="D29" s="109">
        <v>34.950000000000003</v>
      </c>
      <c r="E29" s="109">
        <v>33.29</v>
      </c>
      <c r="F29" s="109">
        <v>33.86</v>
      </c>
      <c r="G29" s="110">
        <v>0.19</v>
      </c>
      <c r="H29" s="111">
        <v>5.4999999999999997E-3</v>
      </c>
      <c r="I29" s="112">
        <v>4</v>
      </c>
      <c r="J29" s="112">
        <v>18</v>
      </c>
      <c r="K29" s="122">
        <v>0.1983</v>
      </c>
    </row>
    <row r="30" spans="1:11" ht="15" customHeight="1" thickBot="1" x14ac:dyDescent="0.4">
      <c r="A30" s="67" t="s">
        <v>394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</row>
    <row r="31" spans="1:11" ht="15" customHeight="1" thickBot="1" x14ac:dyDescent="0.4">
      <c r="A31" s="113" t="s">
        <v>0</v>
      </c>
      <c r="B31" s="106" t="s">
        <v>1</v>
      </c>
      <c r="C31" s="106" t="s">
        <v>22</v>
      </c>
      <c r="D31" s="106" t="s">
        <v>3</v>
      </c>
      <c r="E31" s="106" t="s">
        <v>4</v>
      </c>
      <c r="F31" s="106" t="s">
        <v>5</v>
      </c>
      <c r="G31" s="106" t="s">
        <v>6</v>
      </c>
      <c r="H31" s="106" t="s">
        <v>7</v>
      </c>
      <c r="I31" s="106" t="s">
        <v>8</v>
      </c>
      <c r="J31" s="106" t="s">
        <v>9</v>
      </c>
      <c r="K31" s="118" t="s">
        <v>10</v>
      </c>
    </row>
    <row r="32" spans="1:11" ht="15" customHeight="1" thickBot="1" x14ac:dyDescent="0.4">
      <c r="A32" s="114" t="s">
        <v>545</v>
      </c>
      <c r="B32" s="82" t="s">
        <v>224</v>
      </c>
      <c r="C32" s="103">
        <v>44461</v>
      </c>
      <c r="D32" s="88">
        <v>2.83</v>
      </c>
      <c r="E32" s="88">
        <v>2.84</v>
      </c>
      <c r="F32" s="88">
        <v>2.87</v>
      </c>
      <c r="G32" s="91">
        <v>-0.84</v>
      </c>
      <c r="H32" s="97">
        <v>-0.22889999999999999</v>
      </c>
      <c r="I32" s="83">
        <v>110430</v>
      </c>
      <c r="J32" s="83">
        <v>7060</v>
      </c>
      <c r="K32" s="119">
        <v>0.2959</v>
      </c>
    </row>
    <row r="33" spans="1:11" ht="15" customHeight="1" thickBot="1" x14ac:dyDescent="0.4">
      <c r="A33" s="115" t="s">
        <v>546</v>
      </c>
      <c r="B33" s="84" t="s">
        <v>224</v>
      </c>
      <c r="C33" s="104">
        <v>44463</v>
      </c>
      <c r="D33" s="89">
        <v>4.21</v>
      </c>
      <c r="E33" s="89">
        <v>4.2699999999999996</v>
      </c>
      <c r="F33" s="89">
        <v>4.3</v>
      </c>
      <c r="G33" s="92">
        <v>-0.62</v>
      </c>
      <c r="H33" s="98">
        <v>-0.12839999999999999</v>
      </c>
      <c r="I33" s="85">
        <v>30704</v>
      </c>
      <c r="J33" s="85">
        <v>9782</v>
      </c>
      <c r="K33" s="120">
        <v>0.2621</v>
      </c>
    </row>
    <row r="34" spans="1:11" ht="15" customHeight="1" thickBot="1" x14ac:dyDescent="0.4">
      <c r="A34" s="116" t="s">
        <v>547</v>
      </c>
      <c r="B34" s="86" t="s">
        <v>110</v>
      </c>
      <c r="C34" s="105">
        <v>44466</v>
      </c>
      <c r="D34" s="90">
        <v>5.04</v>
      </c>
      <c r="E34" s="90">
        <v>4.91</v>
      </c>
      <c r="F34" s="90">
        <v>4.9400000000000004</v>
      </c>
      <c r="G34" s="93">
        <v>-0.42</v>
      </c>
      <c r="H34" s="99">
        <v>-7.6899999999999996E-2</v>
      </c>
      <c r="I34" s="87">
        <v>5963</v>
      </c>
      <c r="J34" s="87">
        <v>3031</v>
      </c>
      <c r="K34" s="121">
        <v>0.2142</v>
      </c>
    </row>
    <row r="35" spans="1:11" ht="15" customHeight="1" thickBot="1" x14ac:dyDescent="0.4">
      <c r="A35" s="115" t="s">
        <v>548</v>
      </c>
      <c r="B35" s="84" t="s">
        <v>68</v>
      </c>
      <c r="C35" s="104">
        <v>44468</v>
      </c>
      <c r="D35" s="89">
        <v>5.7</v>
      </c>
      <c r="E35" s="89">
        <v>5.73</v>
      </c>
      <c r="F35" s="89">
        <v>5.77</v>
      </c>
      <c r="G35" s="95">
        <v>0.12</v>
      </c>
      <c r="H35" s="101">
        <v>2.1499999999999998E-2</v>
      </c>
      <c r="I35" s="85">
        <v>1210</v>
      </c>
      <c r="J35" s="85">
        <v>1695</v>
      </c>
      <c r="K35" s="120">
        <v>0.21790000000000001</v>
      </c>
    </row>
    <row r="36" spans="1:11" ht="15" customHeight="1" thickBot="1" x14ac:dyDescent="0.4">
      <c r="A36" s="116" t="s">
        <v>549</v>
      </c>
      <c r="B36" s="86" t="s">
        <v>84</v>
      </c>
      <c r="C36" s="105">
        <v>44469</v>
      </c>
      <c r="D36" s="90">
        <v>6.19</v>
      </c>
      <c r="E36" s="90">
        <v>6.14</v>
      </c>
      <c r="F36" s="90">
        <v>6.18</v>
      </c>
      <c r="G36" s="93">
        <v>-0.6</v>
      </c>
      <c r="H36" s="99">
        <v>-8.8400000000000006E-2</v>
      </c>
      <c r="I36" s="87">
        <v>2633</v>
      </c>
      <c r="J36" s="87">
        <v>3556</v>
      </c>
      <c r="K36" s="121">
        <v>0.22059999999999999</v>
      </c>
    </row>
    <row r="37" spans="1:11" ht="15" customHeight="1" thickBot="1" x14ac:dyDescent="0.4">
      <c r="A37" s="115" t="s">
        <v>550</v>
      </c>
      <c r="B37" s="84" t="s">
        <v>68</v>
      </c>
      <c r="C37" s="104">
        <v>44470</v>
      </c>
      <c r="D37" s="89">
        <v>6.48</v>
      </c>
      <c r="E37" s="89">
        <v>6.53</v>
      </c>
      <c r="F37" s="89">
        <v>6.57</v>
      </c>
      <c r="G37" s="92">
        <v>-0.52</v>
      </c>
      <c r="H37" s="98">
        <v>-7.4300000000000005E-2</v>
      </c>
      <c r="I37" s="85">
        <v>17198</v>
      </c>
      <c r="J37" s="85">
        <v>2991</v>
      </c>
      <c r="K37" s="120">
        <v>0.2228</v>
      </c>
    </row>
    <row r="38" spans="1:11" ht="15" customHeight="1" thickBot="1" x14ac:dyDescent="0.4">
      <c r="A38" s="116" t="s">
        <v>551</v>
      </c>
      <c r="B38" s="86" t="s">
        <v>110</v>
      </c>
      <c r="C38" s="105">
        <v>44473</v>
      </c>
      <c r="D38" s="90">
        <v>6.98</v>
      </c>
      <c r="E38" s="90">
        <v>6.93</v>
      </c>
      <c r="F38" s="90">
        <v>6.98</v>
      </c>
      <c r="G38" s="93">
        <v>-0.38</v>
      </c>
      <c r="H38" s="99">
        <v>-5.16E-2</v>
      </c>
      <c r="I38" s="87">
        <v>493</v>
      </c>
      <c r="J38" s="87">
        <v>197</v>
      </c>
      <c r="K38" s="121">
        <v>0.20799999999999999</v>
      </c>
    </row>
    <row r="39" spans="1:11" ht="15" customHeight="1" thickBot="1" x14ac:dyDescent="0.4">
      <c r="A39" s="115" t="s">
        <v>552</v>
      </c>
      <c r="B39" s="84" t="s">
        <v>114</v>
      </c>
      <c r="C39" s="104">
        <v>44475</v>
      </c>
      <c r="D39" s="89">
        <v>7.29</v>
      </c>
      <c r="E39" s="89">
        <v>7.52</v>
      </c>
      <c r="F39" s="89">
        <v>7.56</v>
      </c>
      <c r="G39" s="92">
        <v>-0.13</v>
      </c>
      <c r="H39" s="98">
        <v>-1.7500000000000002E-2</v>
      </c>
      <c r="I39" s="85">
        <v>368</v>
      </c>
      <c r="J39" s="85">
        <v>481</v>
      </c>
      <c r="K39" s="120">
        <v>0.2102</v>
      </c>
    </row>
    <row r="40" spans="1:11" ht="15" customHeight="1" thickBot="1" x14ac:dyDescent="0.4">
      <c r="A40" s="116" t="s">
        <v>553</v>
      </c>
      <c r="B40" s="86" t="s">
        <v>224</v>
      </c>
      <c r="C40" s="105">
        <v>44477</v>
      </c>
      <c r="D40" s="90">
        <v>8.1</v>
      </c>
      <c r="E40" s="90">
        <v>8.06</v>
      </c>
      <c r="F40" s="90">
        <v>8.1</v>
      </c>
      <c r="G40" s="94">
        <v>0.32</v>
      </c>
      <c r="H40" s="100">
        <v>4.1099999999999998E-2</v>
      </c>
      <c r="I40" s="87">
        <v>739</v>
      </c>
      <c r="J40" s="87">
        <v>879</v>
      </c>
      <c r="K40" s="121">
        <v>0.21190000000000001</v>
      </c>
    </row>
    <row r="41" spans="1:11" ht="15" customHeight="1" thickBot="1" x14ac:dyDescent="0.4">
      <c r="A41" s="115" t="s">
        <v>554</v>
      </c>
      <c r="B41" s="84" t="s">
        <v>121</v>
      </c>
      <c r="C41" s="104">
        <v>44480</v>
      </c>
      <c r="D41" s="89">
        <v>7.97</v>
      </c>
      <c r="E41" s="89">
        <v>8.35</v>
      </c>
      <c r="F41" s="89">
        <v>8.4</v>
      </c>
      <c r="G41" s="92">
        <v>-0.24</v>
      </c>
      <c r="H41" s="98">
        <v>-2.92E-2</v>
      </c>
      <c r="I41" s="85">
        <v>145</v>
      </c>
      <c r="J41" s="85">
        <v>142</v>
      </c>
      <c r="K41" s="120">
        <v>0.20280000000000001</v>
      </c>
    </row>
    <row r="42" spans="1:11" ht="15" customHeight="1" thickBot="1" x14ac:dyDescent="0.4">
      <c r="A42" s="116" t="s">
        <v>555</v>
      </c>
      <c r="B42" s="86" t="s">
        <v>121</v>
      </c>
      <c r="C42" s="105">
        <v>44482</v>
      </c>
      <c r="D42" s="90">
        <v>8.4600000000000009</v>
      </c>
      <c r="E42" s="90">
        <v>8.8000000000000007</v>
      </c>
      <c r="F42" s="90">
        <v>8.85</v>
      </c>
      <c r="G42" s="93">
        <v>-7.0000000000000007E-2</v>
      </c>
      <c r="H42" s="99">
        <v>-8.2000000000000007E-3</v>
      </c>
      <c r="I42" s="87">
        <v>100</v>
      </c>
      <c r="J42" s="87">
        <v>211</v>
      </c>
      <c r="K42" s="121">
        <v>0.20399999999999999</v>
      </c>
    </row>
    <row r="43" spans="1:11" ht="15" customHeight="1" thickBot="1" x14ac:dyDescent="0.4">
      <c r="A43" s="115" t="s">
        <v>556</v>
      </c>
      <c r="B43" s="84" t="s">
        <v>84</v>
      </c>
      <c r="C43" s="104">
        <v>44484</v>
      </c>
      <c r="D43" s="89">
        <v>9.33</v>
      </c>
      <c r="E43" s="89">
        <v>9.24</v>
      </c>
      <c r="F43" s="89">
        <v>9.27</v>
      </c>
      <c r="G43" s="92">
        <v>-0.2</v>
      </c>
      <c r="H43" s="98">
        <v>-2.1000000000000001E-2</v>
      </c>
      <c r="I43" s="85">
        <v>5109</v>
      </c>
      <c r="J43" s="85">
        <v>16361</v>
      </c>
      <c r="K43" s="120">
        <v>0.20480000000000001</v>
      </c>
    </row>
    <row r="44" spans="1:11" ht="15" customHeight="1" thickBot="1" x14ac:dyDescent="0.4">
      <c r="A44" s="116" t="s">
        <v>557</v>
      </c>
      <c r="B44" s="86" t="s">
        <v>224</v>
      </c>
      <c r="C44" s="105">
        <v>44487</v>
      </c>
      <c r="D44" s="90">
        <v>9.49</v>
      </c>
      <c r="E44" s="90">
        <v>9.49</v>
      </c>
      <c r="F44" s="90">
        <v>9.57</v>
      </c>
      <c r="G44" s="94">
        <v>0.03</v>
      </c>
      <c r="H44" s="100">
        <v>3.2000000000000002E-3</v>
      </c>
      <c r="I44" s="87">
        <v>28</v>
      </c>
      <c r="J44" s="87">
        <v>190</v>
      </c>
      <c r="K44" s="121">
        <v>0.19939999999999999</v>
      </c>
    </row>
    <row r="45" spans="1:11" ht="15" customHeight="1" thickBot="1" x14ac:dyDescent="0.4">
      <c r="A45" s="115" t="s">
        <v>558</v>
      </c>
      <c r="B45" s="84" t="s">
        <v>57</v>
      </c>
      <c r="C45" s="104">
        <v>44489</v>
      </c>
      <c r="D45" s="89">
        <v>9.14</v>
      </c>
      <c r="E45" s="89">
        <v>9.9</v>
      </c>
      <c r="F45" s="89">
        <v>9.9700000000000006</v>
      </c>
      <c r="G45" s="92">
        <v>-0.4</v>
      </c>
      <c r="H45" s="98">
        <v>-4.19E-2</v>
      </c>
      <c r="I45" s="85">
        <v>141</v>
      </c>
      <c r="J45" s="85">
        <v>181</v>
      </c>
      <c r="K45" s="120">
        <v>0.2006</v>
      </c>
    </row>
    <row r="46" spans="1:11" ht="15" customHeight="1" thickBot="1" x14ac:dyDescent="0.4">
      <c r="A46" s="116" t="s">
        <v>559</v>
      </c>
      <c r="B46" s="86" t="s">
        <v>78</v>
      </c>
      <c r="C46" s="105">
        <v>44491</v>
      </c>
      <c r="D46" s="90">
        <v>9.5500000000000007</v>
      </c>
      <c r="E46" s="90">
        <v>10.3</v>
      </c>
      <c r="F46" s="90">
        <v>10.35</v>
      </c>
      <c r="G46" s="93">
        <v>-1.08</v>
      </c>
      <c r="H46" s="99">
        <v>-0.1016</v>
      </c>
      <c r="I46" s="87">
        <v>714</v>
      </c>
      <c r="J46" s="87">
        <v>851</v>
      </c>
      <c r="K46" s="121">
        <v>0.2016</v>
      </c>
    </row>
    <row r="47" spans="1:11" ht="15" customHeight="1" thickBot="1" x14ac:dyDescent="0.4">
      <c r="A47" s="115" t="s">
        <v>296</v>
      </c>
      <c r="B47" s="84" t="s">
        <v>68</v>
      </c>
      <c r="C47" s="104">
        <v>44498</v>
      </c>
      <c r="D47" s="89">
        <v>11.26</v>
      </c>
      <c r="E47" s="89">
        <v>11.32</v>
      </c>
      <c r="F47" s="89">
        <v>11.38</v>
      </c>
      <c r="G47" s="95">
        <v>0.36</v>
      </c>
      <c r="H47" s="101">
        <v>3.3000000000000002E-2</v>
      </c>
      <c r="I47" s="85">
        <v>1151</v>
      </c>
      <c r="J47" s="85">
        <v>1210</v>
      </c>
      <c r="K47" s="120">
        <v>0.20050000000000001</v>
      </c>
    </row>
    <row r="48" spans="1:11" ht="15" customHeight="1" thickBot="1" x14ac:dyDescent="0.4">
      <c r="A48" s="116" t="s">
        <v>560</v>
      </c>
      <c r="B48" s="86" t="s">
        <v>74</v>
      </c>
      <c r="C48" s="105">
        <v>44519</v>
      </c>
      <c r="D48" s="90">
        <v>13.78</v>
      </c>
      <c r="E48" s="90">
        <v>13.92</v>
      </c>
      <c r="F48" s="90">
        <v>13.97</v>
      </c>
      <c r="G48" s="93">
        <v>-0.55000000000000004</v>
      </c>
      <c r="H48" s="99">
        <v>-3.8399999999999997E-2</v>
      </c>
      <c r="I48" s="87">
        <v>1119</v>
      </c>
      <c r="J48" s="87">
        <v>5162</v>
      </c>
      <c r="K48" s="121">
        <v>0.19819999999999999</v>
      </c>
    </row>
    <row r="49" spans="1:11" ht="15" customHeight="1" thickBot="1" x14ac:dyDescent="0.4">
      <c r="A49" s="115" t="s">
        <v>561</v>
      </c>
      <c r="B49" s="84" t="s">
        <v>57</v>
      </c>
      <c r="C49" s="104">
        <v>44547</v>
      </c>
      <c r="D49" s="89">
        <v>16.52</v>
      </c>
      <c r="E49" s="89">
        <v>17.350000000000001</v>
      </c>
      <c r="F49" s="89">
        <v>17.399999999999999</v>
      </c>
      <c r="G49" s="92">
        <v>-0.7</v>
      </c>
      <c r="H49" s="98">
        <v>-4.07E-2</v>
      </c>
      <c r="I49" s="85">
        <v>635</v>
      </c>
      <c r="J49" s="85">
        <v>3705</v>
      </c>
      <c r="K49" s="120">
        <v>0.2039</v>
      </c>
    </row>
    <row r="50" spans="1:11" ht="15" customHeight="1" thickBot="1" x14ac:dyDescent="0.4">
      <c r="A50" s="116" t="s">
        <v>562</v>
      </c>
      <c r="B50" s="86" t="s">
        <v>78</v>
      </c>
      <c r="C50" s="105">
        <v>44561</v>
      </c>
      <c r="D50" s="90">
        <v>17.79</v>
      </c>
      <c r="E50" s="90">
        <v>18.47</v>
      </c>
      <c r="F50" s="90">
        <v>18.739999999999998</v>
      </c>
      <c r="G50" s="93">
        <v>-3.41</v>
      </c>
      <c r="H50" s="99">
        <v>-0.1608</v>
      </c>
      <c r="I50" s="87">
        <v>47</v>
      </c>
      <c r="J50" s="87">
        <v>437</v>
      </c>
      <c r="K50" s="121">
        <v>0.20399999999999999</v>
      </c>
    </row>
    <row r="51" spans="1:11" ht="15" customHeight="1" thickBot="1" x14ac:dyDescent="0.4">
      <c r="A51" s="115" t="s">
        <v>563</v>
      </c>
      <c r="B51" s="84" t="s">
        <v>100</v>
      </c>
      <c r="C51" s="104">
        <v>44582</v>
      </c>
      <c r="D51" s="89">
        <v>19.52</v>
      </c>
      <c r="E51" s="89">
        <v>20.37</v>
      </c>
      <c r="F51" s="89">
        <v>20.49</v>
      </c>
      <c r="G51" s="92">
        <v>-1.1299999999999999</v>
      </c>
      <c r="H51" s="98">
        <v>-5.4699999999999999E-2</v>
      </c>
      <c r="I51" s="85">
        <v>92</v>
      </c>
      <c r="J51" s="85">
        <v>3901</v>
      </c>
      <c r="K51" s="120">
        <v>0.2031</v>
      </c>
    </row>
    <row r="52" spans="1:11" ht="15" customHeight="1" thickBot="1" x14ac:dyDescent="0.4">
      <c r="A52" s="116" t="s">
        <v>564</v>
      </c>
      <c r="B52" s="86" t="s">
        <v>565</v>
      </c>
      <c r="C52" s="105">
        <v>44610</v>
      </c>
      <c r="D52" s="90">
        <v>21.05</v>
      </c>
      <c r="E52" s="90">
        <v>22.77</v>
      </c>
      <c r="F52" s="90">
        <v>23.01</v>
      </c>
      <c r="G52" s="93">
        <v>-3.06</v>
      </c>
      <c r="H52" s="99">
        <v>-0.12690000000000001</v>
      </c>
      <c r="I52" s="87">
        <v>14</v>
      </c>
      <c r="J52" s="87">
        <v>790</v>
      </c>
      <c r="K52" s="121">
        <v>0.20599999999999999</v>
      </c>
    </row>
    <row r="53" spans="1:11" ht="15" customHeight="1" thickBot="1" x14ac:dyDescent="0.4">
      <c r="A53" s="115" t="s">
        <v>566</v>
      </c>
      <c r="B53" s="84" t="s">
        <v>118</v>
      </c>
      <c r="C53" s="104">
        <v>44638</v>
      </c>
      <c r="D53" s="89">
        <v>24.45</v>
      </c>
      <c r="E53" s="89">
        <v>25.31</v>
      </c>
      <c r="F53" s="89">
        <v>25.57</v>
      </c>
      <c r="G53" s="92">
        <v>-3.33</v>
      </c>
      <c r="H53" s="98">
        <v>-0.11990000000000001</v>
      </c>
      <c r="I53" s="85">
        <v>242</v>
      </c>
      <c r="J53" s="85">
        <v>2151</v>
      </c>
      <c r="K53" s="120">
        <v>0.21029999999999999</v>
      </c>
    </row>
    <row r="54" spans="1:11" ht="15" customHeight="1" thickBot="1" x14ac:dyDescent="0.4">
      <c r="A54" s="116" t="s">
        <v>567</v>
      </c>
      <c r="B54" s="86" t="s">
        <v>568</v>
      </c>
      <c r="C54" s="105">
        <v>44651</v>
      </c>
      <c r="D54" s="90">
        <v>25.77</v>
      </c>
      <c r="E54" s="90">
        <v>26.11</v>
      </c>
      <c r="F54" s="90">
        <v>26.57</v>
      </c>
      <c r="G54" s="96">
        <v>0</v>
      </c>
      <c r="H54" s="102" t="s">
        <v>11</v>
      </c>
      <c r="I54" s="87">
        <v>2</v>
      </c>
      <c r="J54" s="87">
        <v>103</v>
      </c>
      <c r="K54" s="121">
        <v>0.21110000000000001</v>
      </c>
    </row>
    <row r="55" spans="1:11" ht="15" customHeight="1" thickBot="1" x14ac:dyDescent="0.4">
      <c r="A55" s="115" t="s">
        <v>569</v>
      </c>
      <c r="B55" s="84" t="s">
        <v>76</v>
      </c>
      <c r="C55" s="104">
        <v>44729</v>
      </c>
      <c r="D55" s="89">
        <v>31.6</v>
      </c>
      <c r="E55" s="89">
        <v>31.81</v>
      </c>
      <c r="F55" s="89">
        <v>32.18</v>
      </c>
      <c r="G55" s="95">
        <v>5.79</v>
      </c>
      <c r="H55" s="101">
        <v>0.2243</v>
      </c>
      <c r="I55" s="85">
        <v>7</v>
      </c>
      <c r="J55" s="85">
        <v>236</v>
      </c>
      <c r="K55" s="120">
        <v>0.21579999999999999</v>
      </c>
    </row>
    <row r="56" spans="1:11" ht="15" customHeight="1" thickBot="1" x14ac:dyDescent="0.4">
      <c r="A56" s="136" t="s">
        <v>570</v>
      </c>
      <c r="B56" s="130" t="s">
        <v>571</v>
      </c>
      <c r="C56" s="131">
        <v>44742</v>
      </c>
      <c r="D56" s="132">
        <v>34.229999999999997</v>
      </c>
      <c r="E56" s="132">
        <v>32.340000000000003</v>
      </c>
      <c r="F56" s="132">
        <v>33.31</v>
      </c>
      <c r="G56" s="133">
        <v>0</v>
      </c>
      <c r="H56" s="134" t="s">
        <v>11</v>
      </c>
      <c r="I56" s="135">
        <v>13</v>
      </c>
      <c r="J56" s="135">
        <v>22</v>
      </c>
      <c r="K56" s="137">
        <v>0.21820000000000001</v>
      </c>
    </row>
    <row r="57" spans="1:11" ht="15" thickBot="1" x14ac:dyDescent="0.4">
      <c r="A57" s="123"/>
      <c r="B57" s="124"/>
      <c r="C57" s="125"/>
      <c r="D57" s="124"/>
      <c r="E57" s="124"/>
      <c r="F57" s="124"/>
      <c r="G57" s="126"/>
      <c r="H57" s="127"/>
      <c r="I57" s="124"/>
      <c r="J57" s="128"/>
      <c r="K57" s="129"/>
    </row>
    <row r="58" spans="1:11" ht="15" thickBot="1" x14ac:dyDescent="0.4">
      <c r="A58" s="20"/>
      <c r="B58" s="21"/>
      <c r="C58" s="38"/>
      <c r="D58" s="21"/>
      <c r="E58" s="21"/>
      <c r="F58" s="21"/>
      <c r="G58" s="35"/>
      <c r="H58" s="36"/>
      <c r="I58" s="21"/>
      <c r="J58" s="37"/>
      <c r="K58" s="23"/>
    </row>
    <row r="59" spans="1:11" ht="15" thickBot="1" x14ac:dyDescent="0.4">
      <c r="A59" s="20"/>
      <c r="B59" s="21"/>
      <c r="C59" s="38"/>
      <c r="D59" s="21"/>
      <c r="E59" s="21"/>
      <c r="F59" s="21"/>
      <c r="G59" s="35"/>
      <c r="H59" s="36"/>
      <c r="I59" s="21"/>
      <c r="J59" s="21"/>
      <c r="K59" s="23"/>
    </row>
    <row r="60" spans="1:11" ht="15" thickBot="1" x14ac:dyDescent="0.4">
      <c r="A60" s="20"/>
      <c r="B60" s="21"/>
      <c r="C60" s="38"/>
      <c r="D60" s="21"/>
      <c r="E60" s="21"/>
      <c r="F60" s="21"/>
      <c r="G60" s="35"/>
      <c r="H60" s="36"/>
      <c r="I60" s="21"/>
      <c r="J60" s="37"/>
      <c r="K60" s="23"/>
    </row>
    <row r="61" spans="1:11" ht="15" thickBot="1" x14ac:dyDescent="0.4">
      <c r="A61" s="20"/>
      <c r="B61" s="21"/>
      <c r="C61" s="38"/>
      <c r="D61" s="21"/>
      <c r="E61" s="21"/>
      <c r="F61" s="21"/>
      <c r="G61" s="35"/>
      <c r="H61" s="36"/>
      <c r="I61" s="21"/>
      <c r="J61" s="21"/>
      <c r="K61" s="23"/>
    </row>
    <row r="62" spans="1:11" ht="15" thickBot="1" x14ac:dyDescent="0.4">
      <c r="A62" s="20"/>
      <c r="B62" s="21"/>
      <c r="C62" s="38"/>
      <c r="D62" s="21"/>
      <c r="E62" s="21"/>
      <c r="F62" s="21"/>
      <c r="G62" s="35"/>
      <c r="H62" s="36"/>
      <c r="I62" s="21"/>
      <c r="J62" s="37"/>
      <c r="K62" s="23"/>
    </row>
    <row r="63" spans="1:11" ht="15" thickBot="1" x14ac:dyDescent="0.4">
      <c r="A63" s="20"/>
      <c r="B63" s="21"/>
      <c r="C63" s="38"/>
      <c r="D63" s="21"/>
      <c r="E63" s="21"/>
      <c r="F63" s="21"/>
      <c r="G63" s="35"/>
      <c r="H63" s="36"/>
      <c r="I63" s="21"/>
      <c r="J63" s="21"/>
      <c r="K63" s="23"/>
    </row>
    <row r="64" spans="1:11" ht="15" thickBot="1" x14ac:dyDescent="0.4">
      <c r="A64" s="20"/>
      <c r="B64" s="21"/>
      <c r="C64" s="38"/>
      <c r="D64" s="21"/>
      <c r="E64" s="21"/>
      <c r="F64" s="21"/>
      <c r="G64" s="35"/>
      <c r="H64" s="36"/>
      <c r="I64" s="21"/>
      <c r="J64" s="21"/>
      <c r="K64" s="23"/>
    </row>
    <row r="65" spans="1:11" ht="15" thickBot="1" x14ac:dyDescent="0.4">
      <c r="A65" s="20"/>
      <c r="B65" s="21"/>
      <c r="C65" s="38"/>
      <c r="D65" s="21"/>
      <c r="E65" s="21"/>
      <c r="F65" s="21"/>
      <c r="G65" s="21"/>
      <c r="H65" s="21"/>
      <c r="I65" s="21"/>
      <c r="J65" s="37"/>
      <c r="K65" s="23"/>
    </row>
    <row r="66" spans="1:11" ht="15" thickBot="1" x14ac:dyDescent="0.4">
      <c r="A66" s="20"/>
      <c r="B66" s="21"/>
      <c r="C66" s="38"/>
      <c r="D66" s="21"/>
      <c r="E66" s="21"/>
      <c r="F66" s="21"/>
      <c r="G66" s="35"/>
      <c r="H66" s="36"/>
      <c r="I66" s="21"/>
      <c r="J66" s="37"/>
      <c r="K66" s="23"/>
    </row>
    <row r="67" spans="1:11" ht="15" thickBot="1" x14ac:dyDescent="0.4">
      <c r="A67" s="20"/>
      <c r="B67" s="21"/>
      <c r="C67" s="38"/>
      <c r="D67" s="21"/>
      <c r="E67" s="21"/>
      <c r="F67" s="21"/>
      <c r="G67" s="35"/>
      <c r="H67" s="36"/>
      <c r="I67" s="21"/>
      <c r="J67" s="21"/>
      <c r="K67" s="23"/>
    </row>
    <row r="68" spans="1:11" ht="15" thickBot="1" x14ac:dyDescent="0.4">
      <c r="A68" s="20"/>
      <c r="B68" s="21"/>
      <c r="C68" s="38"/>
      <c r="D68" s="21"/>
      <c r="E68" s="21"/>
      <c r="F68" s="21"/>
      <c r="G68" s="35"/>
      <c r="H68" s="36"/>
      <c r="I68" s="21"/>
      <c r="J68" s="21"/>
      <c r="K68" s="23"/>
    </row>
    <row r="69" spans="1:11" ht="15" thickBot="1" x14ac:dyDescent="0.4">
      <c r="A69" s="20"/>
      <c r="B69" s="21"/>
      <c r="C69" s="38"/>
      <c r="D69" s="21"/>
      <c r="E69" s="21"/>
      <c r="F69" s="21"/>
      <c r="G69" s="21"/>
      <c r="H69" s="21"/>
      <c r="I69" s="21"/>
      <c r="J69" s="21"/>
      <c r="K69" s="23"/>
    </row>
    <row r="70" spans="1:11" ht="15" thickBot="1" x14ac:dyDescent="0.4">
      <c r="A70" s="20"/>
      <c r="B70" s="21"/>
      <c r="C70" s="38"/>
      <c r="D70" s="21"/>
      <c r="E70" s="21"/>
      <c r="F70" s="21"/>
      <c r="G70" s="35"/>
      <c r="H70" s="36"/>
      <c r="I70" s="21"/>
      <c r="J70" s="37"/>
      <c r="K70" s="23"/>
    </row>
    <row r="71" spans="1:11" x14ac:dyDescent="0.35">
      <c r="A71" s="20"/>
      <c r="B71" s="21"/>
      <c r="C71" s="38"/>
      <c r="D71" s="21"/>
      <c r="E71" s="21"/>
      <c r="F71" s="21"/>
      <c r="G71" s="35"/>
      <c r="H71" s="36"/>
      <c r="I71" s="21"/>
      <c r="J71" s="21"/>
      <c r="K71" s="23"/>
    </row>
  </sheetData>
  <hyperlinks>
    <hyperlink ref="A1" r:id="rId1" tooltip="Remove Strike Filtering" display="https://finance.yahoo.com/quote/SPY/options?straddle=false" xr:uid="{F8AC0CCE-0F85-403C-8E4B-3A01B68E956B}"/>
    <hyperlink ref="A4" r:id="rId2" display="https://finance.yahoo.com/quote/SPY210922C00434000?p=SPY210922C00434000" xr:uid="{1935B87B-7B01-49C7-8CB9-B238A6005E5F}"/>
    <hyperlink ref="C4" r:id="rId3" display="https://finance.yahoo.com/quote/SPY/options?date=1632268800&amp;straddle=false" xr:uid="{AD868CDF-186A-44BC-86CE-8C3AAF998985}"/>
    <hyperlink ref="A5" r:id="rId4" display="https://finance.yahoo.com/quote/SPY210924C00434000?p=SPY210924C00434000" xr:uid="{C9141265-9653-425F-A4B5-6AD14CED7C03}"/>
    <hyperlink ref="C5" r:id="rId5" display="https://finance.yahoo.com/quote/SPY/options?date=1632441600&amp;straddle=false" xr:uid="{DDACBD0F-BC7C-4DF1-897E-8F510E4753D9}"/>
    <hyperlink ref="A6" r:id="rId6" display="https://finance.yahoo.com/quote/SPY210927C00434000?p=SPY210927C00434000" xr:uid="{8F9617CF-AF82-4C1D-A5AD-D88D863CA2E8}"/>
    <hyperlink ref="C6" r:id="rId7" display="https://finance.yahoo.com/quote/SPY/options?date=1632700800&amp;straddle=false" xr:uid="{41E53305-EE00-42B4-B879-F830A1E43326}"/>
    <hyperlink ref="A7" r:id="rId8" display="https://finance.yahoo.com/quote/SPY210929C00434000?p=SPY210929C00434000" xr:uid="{47966AAE-4C47-4BEF-ACE4-8C16757726A5}"/>
    <hyperlink ref="C7" r:id="rId9" display="https://finance.yahoo.com/quote/SPY/options?date=1632873600&amp;straddle=false" xr:uid="{2A639978-999E-414A-A457-6D78FB83B616}"/>
    <hyperlink ref="A8" r:id="rId10" display="https://finance.yahoo.com/quote/SPY210930C00434000?p=SPY210930C00434000" xr:uid="{A280BD70-FFB3-4355-A544-14D2B153AF5D}"/>
    <hyperlink ref="C8" r:id="rId11" display="https://finance.yahoo.com/quote/SPY/options?date=1632960000&amp;straddle=false" xr:uid="{C0BC4967-25DE-4C5C-8144-C25493AB6D92}"/>
    <hyperlink ref="A9" r:id="rId12" display="https://finance.yahoo.com/quote/SPY211001C00434000?p=SPY211001C00434000" xr:uid="{4630C461-C8DD-46A0-8902-0767AB13117E}"/>
    <hyperlink ref="C9" r:id="rId13" display="https://finance.yahoo.com/quote/SPY/options?date=1633046400&amp;straddle=false" xr:uid="{C74D4C89-38AF-405A-8055-58279DEB2C1B}"/>
    <hyperlink ref="A10" r:id="rId14" display="https://finance.yahoo.com/quote/SPY211004C00434000?p=SPY211004C00434000" xr:uid="{4407E93F-D99D-4492-99AE-9A47F14FC728}"/>
    <hyperlink ref="C10" r:id="rId15" display="https://finance.yahoo.com/quote/SPY/options?date=1633305600&amp;straddle=false" xr:uid="{F5198B09-959E-463E-9DC7-D4F5DA123CCC}"/>
    <hyperlink ref="A11" r:id="rId16" display="https://finance.yahoo.com/quote/SPY211006C00434000?p=SPY211006C00434000" xr:uid="{40122AAA-4C39-4582-941D-BD5A39BAEC8B}"/>
    <hyperlink ref="C11" r:id="rId17" display="https://finance.yahoo.com/quote/SPY/options?date=1633478400&amp;straddle=false" xr:uid="{5ED97ACC-5A32-41F6-931C-4E0F99312E90}"/>
    <hyperlink ref="A12" r:id="rId18" display="https://finance.yahoo.com/quote/SPY211008C00434000?p=SPY211008C00434000" xr:uid="{0D082E62-4121-4475-933A-A1C65D40AC9C}"/>
    <hyperlink ref="C12" r:id="rId19" display="https://finance.yahoo.com/quote/SPY/options?date=1633651200&amp;straddle=false" xr:uid="{671B31A7-5B62-4A4A-8103-9C75A0813704}"/>
    <hyperlink ref="A13" r:id="rId20" display="https://finance.yahoo.com/quote/SPY211011C00434000?p=SPY211011C00434000" xr:uid="{A852C363-C25A-437F-B29F-687928A018DF}"/>
    <hyperlink ref="C13" r:id="rId21" display="https://finance.yahoo.com/quote/SPY/options?date=1633910400&amp;straddle=false" xr:uid="{F0285055-69DC-48C8-9BBA-407077BC54C5}"/>
    <hyperlink ref="A14" r:id="rId22" display="https://finance.yahoo.com/quote/SPY211013C00434000?p=SPY211013C00434000" xr:uid="{07ACDECF-2F1D-4184-BFAF-84F69540D25F}"/>
    <hyperlink ref="C14" r:id="rId23" display="https://finance.yahoo.com/quote/SPY/options?date=1634083200&amp;straddle=false" xr:uid="{CBF3B07D-CC7B-4FC6-AFE1-F12F4F52A2B8}"/>
    <hyperlink ref="A15" r:id="rId24" display="https://finance.yahoo.com/quote/SPY211015C00434000?p=SPY211015C00434000" xr:uid="{73F2CB55-CFAE-4A2C-BC3C-8468062B77DD}"/>
    <hyperlink ref="C15" r:id="rId25" display="https://finance.yahoo.com/quote/SPY/options?date=1634256000&amp;straddle=false" xr:uid="{D4912DB6-8261-4CF8-BB66-B6F38EE8D61D}"/>
    <hyperlink ref="A16" r:id="rId26" display="https://finance.yahoo.com/quote/SPY211018C00434000?p=SPY211018C00434000" xr:uid="{C5AFB61E-8839-4505-8354-A1B67EAAFF2F}"/>
    <hyperlink ref="C16" r:id="rId27" display="https://finance.yahoo.com/quote/SPY/options?date=1634515200&amp;straddle=false" xr:uid="{4AF9CAAD-836E-4CAD-A850-AB802326BEEC}"/>
    <hyperlink ref="A17" r:id="rId28" display="https://finance.yahoo.com/quote/SPY211020C00434000?p=SPY211020C00434000" xr:uid="{421220EE-0FF3-4A49-8E05-7085306725C7}"/>
    <hyperlink ref="C17" r:id="rId29" display="https://finance.yahoo.com/quote/SPY/options?date=1634688000&amp;straddle=false" xr:uid="{62035FCD-1218-41B4-A601-ABF606973FB7}"/>
    <hyperlink ref="A18" r:id="rId30" display="https://finance.yahoo.com/quote/SPY211022C00434000?p=SPY211022C00434000" xr:uid="{A41FAB1E-A398-47CE-9F6D-848F1AFF2390}"/>
    <hyperlink ref="C18" r:id="rId31" display="https://finance.yahoo.com/quote/SPY/options?date=1634860800&amp;straddle=false" xr:uid="{7B506B24-228A-44D7-8D1E-F2A2DFA5017F}"/>
    <hyperlink ref="A19" r:id="rId32" display="https://finance.yahoo.com/quote/SPY211029C00434000?p=SPY211029C00434000" xr:uid="{2076DD07-7408-41F1-BEE5-4CD270F551FB}"/>
    <hyperlink ref="C19" r:id="rId33" display="https://finance.yahoo.com/quote/SPY/options?date=1635465600&amp;straddle=false" xr:uid="{4672E0E6-3862-4731-B8CB-B9F86D8355F2}"/>
    <hyperlink ref="A20" r:id="rId34" display="https://finance.yahoo.com/quote/SPY211119C00434000?p=SPY211119C00434000" xr:uid="{1898084C-8F6E-4A3D-BE0D-0C165E9C3C6B}"/>
    <hyperlink ref="C20" r:id="rId35" display="https://finance.yahoo.com/quote/SPY/options?date=1637280000&amp;straddle=false" xr:uid="{FF01FD8B-77A7-4391-AE66-6489FA73B4CC}"/>
    <hyperlink ref="A21" r:id="rId36" display="https://finance.yahoo.com/quote/SPY211217C00434000?p=SPY211217C00434000" xr:uid="{D82969E1-8188-4406-B751-1B93C782D9F1}"/>
    <hyperlink ref="C21" r:id="rId37" display="https://finance.yahoo.com/quote/SPY/options?date=1639699200&amp;straddle=false" xr:uid="{4FB0D0E4-1E12-429C-9EA8-6C532B66DA2F}"/>
    <hyperlink ref="A22" r:id="rId38" display="https://finance.yahoo.com/quote/SPY211231C00434000?p=SPY211231C00434000" xr:uid="{F195668B-5E13-4050-887F-21845B558321}"/>
    <hyperlink ref="C22" r:id="rId39" display="https://finance.yahoo.com/quote/SPY/options?date=1640908800&amp;straddle=false" xr:uid="{80D88EDF-4811-43FE-83CA-6E9AFC3DF4C4}"/>
    <hyperlink ref="A23" r:id="rId40" display="https://finance.yahoo.com/quote/SPY220121C00434000?p=SPY220121C00434000" xr:uid="{17AD232A-BA58-470A-9B6C-93962BCA5E06}"/>
    <hyperlink ref="C23" r:id="rId41" display="https://finance.yahoo.com/quote/SPY/options?date=1642723200&amp;straddle=false" xr:uid="{938A2AFC-5D00-45C6-862D-551B6BA401A4}"/>
    <hyperlink ref="A24" r:id="rId42" display="https://finance.yahoo.com/quote/SPY220218C00434000?p=SPY220218C00434000" xr:uid="{E4841A41-31EE-4C47-B7C1-F88090F410BD}"/>
    <hyperlink ref="C24" r:id="rId43" display="https://finance.yahoo.com/quote/SPY/options?date=1645142400&amp;straddle=false" xr:uid="{456196E4-D0EC-49C9-A879-F17AFB9B7C7C}"/>
    <hyperlink ref="A25" r:id="rId44" display="https://finance.yahoo.com/quote/SPY220318C00434000?p=SPY220318C00434000" xr:uid="{D980F391-081F-479B-B97C-B3E2FAC5E7E6}"/>
    <hyperlink ref="C25" r:id="rId45" display="https://finance.yahoo.com/quote/SPY/options?date=1647561600&amp;straddle=false" xr:uid="{F36E9FE7-C460-426B-B43D-74C7EFFABB60}"/>
    <hyperlink ref="A26" r:id="rId46" display="https://finance.yahoo.com/quote/SPY220331C00434000?p=SPY220331C00434000" xr:uid="{0D4B3011-A6C4-4DB8-B72F-4F9AA1DB257A}"/>
    <hyperlink ref="C26" r:id="rId47" display="https://finance.yahoo.com/quote/SPY/options?date=1648684800&amp;straddle=false" xr:uid="{31BCE4BA-C428-44F9-8C56-150EE1147CF5}"/>
    <hyperlink ref="A27" r:id="rId48" display="https://finance.yahoo.com/quote/SPY220617C00434000?p=SPY220617C00434000" xr:uid="{C6056012-996C-492B-9188-414AC628B8E6}"/>
    <hyperlink ref="C27" r:id="rId49" display="https://finance.yahoo.com/quote/SPY/options?date=1655424000&amp;straddle=false" xr:uid="{C92022BF-E234-482E-9EC8-AEB9AFDA21D6}"/>
    <hyperlink ref="A28" r:id="rId50" display="https://finance.yahoo.com/quote/SPY220630C00434000?p=SPY220630C00434000" xr:uid="{C7D8B301-746D-4FC2-A486-A18B8ACCA99D}"/>
    <hyperlink ref="C28" r:id="rId51" display="https://finance.yahoo.com/quote/SPY/options?date=1656547200&amp;straddle=false" xr:uid="{66091B2E-271F-4F5F-B0A2-CA2EE58DA4F3}"/>
    <hyperlink ref="A29" r:id="rId52" display="https://finance.yahoo.com/quote/SPY220916C00434000?p=SPY220916C00434000" xr:uid="{85F54C31-9CE9-463A-B46D-395C4506A44E}"/>
    <hyperlink ref="C29" r:id="rId53" display="https://finance.yahoo.com/quote/SPY/options?date=1663286400&amp;straddle=false" xr:uid="{5CDDA2EB-1876-45CA-9363-DD3E099160EA}"/>
    <hyperlink ref="A32" r:id="rId54" display="https://finance.yahoo.com/quote/SPY210922P00434000?p=SPY210922P00434000" xr:uid="{3A7A98AD-0165-44CE-97E2-A212ED1EB904}"/>
    <hyperlink ref="C32" r:id="rId55" display="https://finance.yahoo.com/quote/SPY/options?date=1632268800&amp;straddle=false" xr:uid="{911DC8A1-ECA1-4CE9-94C2-BE143646D7D9}"/>
    <hyperlink ref="A33" r:id="rId56" display="https://finance.yahoo.com/quote/SPY210924P00434000?p=SPY210924P00434000" xr:uid="{754DFF19-CE4B-4836-898D-9706934AFA01}"/>
    <hyperlink ref="C33" r:id="rId57" display="https://finance.yahoo.com/quote/SPY/options?date=1632441600&amp;straddle=false" xr:uid="{80A16DB7-078C-4E4D-ADE1-A88904053408}"/>
    <hyperlink ref="A34" r:id="rId58" display="https://finance.yahoo.com/quote/SPY210927P00434000?p=SPY210927P00434000" xr:uid="{F1C711E6-0B8C-4544-A248-3B7D8680B8AF}"/>
    <hyperlink ref="C34" r:id="rId59" display="https://finance.yahoo.com/quote/SPY/options?date=1632700800&amp;straddle=false" xr:uid="{157301F4-D800-4137-BA95-CC1D9F72FEB3}"/>
    <hyperlink ref="A35" r:id="rId60" display="https://finance.yahoo.com/quote/SPY210929P00434000?p=SPY210929P00434000" xr:uid="{0FFB7886-68D5-4140-9431-CC79F7D586E7}"/>
    <hyperlink ref="C35" r:id="rId61" display="https://finance.yahoo.com/quote/SPY/options?date=1632873600&amp;straddle=false" xr:uid="{151A6ED3-298F-4084-AB09-3D6F6B6329EB}"/>
    <hyperlink ref="A36" r:id="rId62" display="https://finance.yahoo.com/quote/SPY210930P00434000?p=SPY210930P00434000" xr:uid="{8AA255C5-D861-4993-B826-341A7908428E}"/>
    <hyperlink ref="C36" r:id="rId63" display="https://finance.yahoo.com/quote/SPY/options?date=1632960000&amp;straddle=false" xr:uid="{7C06ADE2-1843-40D5-AD5D-87FEA0FCAA65}"/>
    <hyperlink ref="A37" r:id="rId64" display="https://finance.yahoo.com/quote/SPY211001P00434000?p=SPY211001P00434000" xr:uid="{E9561743-275C-4F69-9277-16EB4FC9041D}"/>
    <hyperlink ref="C37" r:id="rId65" display="https://finance.yahoo.com/quote/SPY/options?date=1633046400&amp;straddle=false" xr:uid="{B4F20F10-7826-41D2-8373-BE3AE475AEC4}"/>
    <hyperlink ref="A38" r:id="rId66" display="https://finance.yahoo.com/quote/SPY211004P00434000?p=SPY211004P00434000" xr:uid="{429E4BD0-9D3D-4466-8B38-E20D4DF1D81E}"/>
    <hyperlink ref="C38" r:id="rId67" display="https://finance.yahoo.com/quote/SPY/options?date=1633305600&amp;straddle=false" xr:uid="{4A4B1093-CC02-4862-9D3C-2371DD7BBEE0}"/>
    <hyperlink ref="A39" r:id="rId68" display="https://finance.yahoo.com/quote/SPY211006P00434000?p=SPY211006P00434000" xr:uid="{A963D50D-46CC-4781-9CCA-91912B5290F3}"/>
    <hyperlink ref="C39" r:id="rId69" display="https://finance.yahoo.com/quote/SPY/options?date=1633478400&amp;straddle=false" xr:uid="{7FFC8E2A-1C71-4A44-89D0-A8E83A49E3EB}"/>
    <hyperlink ref="A40" r:id="rId70" display="https://finance.yahoo.com/quote/SPY211008P00434000?p=SPY211008P00434000" xr:uid="{63C7637D-89DD-488A-8452-BBF9DC12F2AF}"/>
    <hyperlink ref="C40" r:id="rId71" display="https://finance.yahoo.com/quote/SPY/options?date=1633651200&amp;straddle=false" xr:uid="{3C1E53FA-59AD-4C21-AC87-AB4D7D40089B}"/>
    <hyperlink ref="A41" r:id="rId72" display="https://finance.yahoo.com/quote/SPY211011P00434000?p=SPY211011P00434000" xr:uid="{893E37E6-9A13-4AC1-B20F-ABDDAD44E5C1}"/>
    <hyperlink ref="C41" r:id="rId73" display="https://finance.yahoo.com/quote/SPY/options?date=1633910400&amp;straddle=false" xr:uid="{E0E85A07-5835-4CF8-8D75-A8A13B7C112A}"/>
    <hyperlink ref="A42" r:id="rId74" display="https://finance.yahoo.com/quote/SPY211013P00434000?p=SPY211013P00434000" xr:uid="{A2C974EA-C9AA-4289-9D33-3D5381468C40}"/>
    <hyperlink ref="C42" r:id="rId75" display="https://finance.yahoo.com/quote/SPY/options?date=1634083200&amp;straddle=false" xr:uid="{FD20F8FD-F138-406A-BAA6-FA3F535F25C1}"/>
    <hyperlink ref="A43" r:id="rId76" display="https://finance.yahoo.com/quote/SPY211015P00434000?p=SPY211015P00434000" xr:uid="{14A47AE9-40E3-45D7-BB8B-C9D236766022}"/>
    <hyperlink ref="C43" r:id="rId77" display="https://finance.yahoo.com/quote/SPY/options?date=1634256000&amp;straddle=false" xr:uid="{EE138A89-4C28-48AC-82B4-97F03E551F38}"/>
    <hyperlink ref="A44" r:id="rId78" display="https://finance.yahoo.com/quote/SPY211018P00434000?p=SPY211018P00434000" xr:uid="{E48A3911-79CD-4759-95D6-3DFC992198BB}"/>
    <hyperlink ref="C44" r:id="rId79" display="https://finance.yahoo.com/quote/SPY/options?date=1634515200&amp;straddle=false" xr:uid="{B12DF139-8D17-4377-BF7D-2F8A70919099}"/>
    <hyperlink ref="A45" r:id="rId80" display="https://finance.yahoo.com/quote/SPY211020P00434000?p=SPY211020P00434000" xr:uid="{AB917018-D30B-4ECB-86F8-F618E865AEE9}"/>
    <hyperlink ref="C45" r:id="rId81" display="https://finance.yahoo.com/quote/SPY/options?date=1634688000&amp;straddle=false" xr:uid="{4FE0896E-0424-4AE4-9329-0E072200AE6D}"/>
    <hyperlink ref="A46" r:id="rId82" display="https://finance.yahoo.com/quote/SPY211022P00434000?p=SPY211022P00434000" xr:uid="{CA75D69D-B14D-4788-A2DB-6103F82A5F2C}"/>
    <hyperlink ref="C46" r:id="rId83" display="https://finance.yahoo.com/quote/SPY/options?date=1634860800&amp;straddle=false" xr:uid="{48155B73-5E7D-442F-8D2A-031B10CAB8CB}"/>
    <hyperlink ref="A47" r:id="rId84" display="https://finance.yahoo.com/quote/SPY211029P00434000?p=SPY211029P00434000" xr:uid="{FE6249C6-919A-4B7F-AEE9-1BC65A5B4C1A}"/>
    <hyperlink ref="C47" r:id="rId85" display="https://finance.yahoo.com/quote/SPY/options?date=1635465600&amp;straddle=false" xr:uid="{A36D7A76-E625-4A69-9079-76FB5F56899E}"/>
    <hyperlink ref="A48" r:id="rId86" display="https://finance.yahoo.com/quote/SPY211119P00434000?p=SPY211119P00434000" xr:uid="{07F60E3B-D803-459B-8A28-A3698D5F805A}"/>
    <hyperlink ref="C48" r:id="rId87" display="https://finance.yahoo.com/quote/SPY/options?date=1637280000&amp;straddle=false" xr:uid="{62C6C7C5-42F7-423D-8130-C03A8B0D7440}"/>
    <hyperlink ref="A49" r:id="rId88" display="https://finance.yahoo.com/quote/SPY211217P00434000?p=SPY211217P00434000" xr:uid="{FF694386-3F1E-4F90-9431-DF2370627C3A}"/>
    <hyperlink ref="C49" r:id="rId89" display="https://finance.yahoo.com/quote/SPY/options?date=1639699200&amp;straddle=false" xr:uid="{E9A16647-43D8-45A7-84DC-D58BDB7DD743}"/>
    <hyperlink ref="A50" r:id="rId90" display="https://finance.yahoo.com/quote/SPY211231P00434000?p=SPY211231P00434000" xr:uid="{8E25EAAA-7F01-43FD-BD0E-DDD2797134B7}"/>
    <hyperlink ref="C50" r:id="rId91" display="https://finance.yahoo.com/quote/SPY/options?date=1640908800&amp;straddle=false" xr:uid="{C5670846-B839-473E-9EF9-82874C82BE5F}"/>
    <hyperlink ref="A51" r:id="rId92" display="https://finance.yahoo.com/quote/SPY220121P00434000?p=SPY220121P00434000" xr:uid="{C70D647F-430E-465C-A5CA-59F14C903CBE}"/>
    <hyperlink ref="C51" r:id="rId93" display="https://finance.yahoo.com/quote/SPY/options?date=1642723200&amp;straddle=false" xr:uid="{2C5DAB4E-5FB3-489F-B4B5-F345CA19E026}"/>
    <hyperlink ref="A52" r:id="rId94" display="https://finance.yahoo.com/quote/SPY220218P00434000?p=SPY220218P00434000" xr:uid="{5A55BD77-EC2E-4A54-8A28-E22B3EAEA2B7}"/>
    <hyperlink ref="C52" r:id="rId95" display="https://finance.yahoo.com/quote/SPY/options?date=1645142400&amp;straddle=false" xr:uid="{2F1EA3BB-3360-4271-823E-B1AD8B30CEF9}"/>
    <hyperlink ref="A53" r:id="rId96" display="https://finance.yahoo.com/quote/SPY220318P00434000?p=SPY220318P00434000" xr:uid="{FCF2C141-F28A-48B7-B1A6-9CB89AD93A35}"/>
    <hyperlink ref="C53" r:id="rId97" display="https://finance.yahoo.com/quote/SPY/options?date=1647561600&amp;straddle=false" xr:uid="{44B5A8DF-B8CB-4324-A94B-4E616FC7CA4C}"/>
    <hyperlink ref="A54" r:id="rId98" display="https://finance.yahoo.com/quote/SPY220331P00434000?p=SPY220331P00434000" xr:uid="{D0DBDDC5-4600-491B-8E60-3E642124A220}"/>
    <hyperlink ref="C54" r:id="rId99" display="https://finance.yahoo.com/quote/SPY/options?date=1648684800&amp;straddle=false" xr:uid="{76FDC84C-353F-4B48-AE4B-41BE0A25A8C5}"/>
    <hyperlink ref="A55" r:id="rId100" display="https://finance.yahoo.com/quote/SPY220617P00434000?p=SPY220617P00434000" xr:uid="{526D8AA7-2FC0-4C93-8B3B-AF7689A2C94F}"/>
    <hyperlink ref="C55" r:id="rId101" display="https://finance.yahoo.com/quote/SPY/options?date=1655424000&amp;straddle=false" xr:uid="{5B9C1A04-667A-4835-A1B3-3F4DA214A3A5}"/>
    <hyperlink ref="A56" r:id="rId102" display="https://finance.yahoo.com/quote/SPY220630P00434000?p=SPY220630P00434000" xr:uid="{90840258-C1FB-47A2-9275-0D734F1D76AA}"/>
    <hyperlink ref="C56" r:id="rId103" display="https://finance.yahoo.com/quote/SPY/options?date=1656547200&amp;straddle=false" xr:uid="{9337BAE9-40D5-4D98-AD50-2024BC4ADB22}"/>
  </hyperlinks>
  <pageMargins left="0.7" right="0.7" top="0.75" bottom="0.75" header="0.3" footer="0.3"/>
  <drawing r:id="rId10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B2E46-F4AF-4BE7-B6DA-E17740F67713}">
  <dimension ref="A1:K57"/>
  <sheetViews>
    <sheetView topLeftCell="G1" workbookViewId="0">
      <pane ySplit="3" topLeftCell="A4" activePane="bottomLeft" state="frozen"/>
      <selection activeCell="E1" sqref="E1"/>
      <selection pane="bottomLeft" activeCell="O15" sqref="O15"/>
    </sheetView>
  </sheetViews>
  <sheetFormatPr defaultColWidth="9.1796875" defaultRowHeight="14.5" x14ac:dyDescent="0.35"/>
  <cols>
    <col min="1" max="1" width="32.7265625" style="1" customWidth="1"/>
    <col min="2" max="2" width="27.26953125" style="1" customWidth="1"/>
    <col min="3" max="11" width="15.453125" style="1" customWidth="1"/>
  </cols>
  <sheetData>
    <row r="1" spans="1:11" ht="18.5" x14ac:dyDescent="0.35">
      <c r="A1" s="66" t="s">
        <v>572</v>
      </c>
      <c r="B1"/>
      <c r="C1"/>
      <c r="D1"/>
      <c r="E1"/>
      <c r="F1"/>
      <c r="G1"/>
      <c r="H1"/>
      <c r="I1"/>
      <c r="J1"/>
      <c r="K1"/>
    </row>
    <row r="2" spans="1:11" ht="16" thickBot="1" x14ac:dyDescent="0.4">
      <c r="A2" s="67" t="s">
        <v>359</v>
      </c>
      <c r="B2" s="67"/>
      <c r="C2" s="67"/>
      <c r="D2" s="67"/>
      <c r="E2" s="67"/>
      <c r="F2" s="67"/>
      <c r="G2" s="67"/>
      <c r="H2" s="67"/>
      <c r="I2" s="67"/>
      <c r="J2" s="67"/>
      <c r="K2" s="67"/>
    </row>
    <row r="3" spans="1:11" ht="15" thickBot="1" x14ac:dyDescent="0.4">
      <c r="A3" s="147" t="s">
        <v>0</v>
      </c>
      <c r="B3" s="140" t="s">
        <v>1</v>
      </c>
      <c r="C3" s="140" t="s">
        <v>22</v>
      </c>
      <c r="D3" s="140" t="s">
        <v>3</v>
      </c>
      <c r="E3" s="140" t="s">
        <v>4</v>
      </c>
      <c r="F3" s="140" t="s">
        <v>5</v>
      </c>
      <c r="G3" s="140" t="s">
        <v>6</v>
      </c>
      <c r="H3" s="140" t="s">
        <v>7</v>
      </c>
      <c r="I3" s="140" t="s">
        <v>8</v>
      </c>
      <c r="J3" s="140" t="s">
        <v>9</v>
      </c>
      <c r="K3" s="149" t="s">
        <v>10</v>
      </c>
    </row>
    <row r="4" spans="1:11" ht="15" thickBot="1" x14ac:dyDescent="0.4">
      <c r="A4" s="114" t="s">
        <v>573</v>
      </c>
      <c r="B4" s="82" t="s">
        <v>224</v>
      </c>
      <c r="C4" s="103">
        <v>44461</v>
      </c>
      <c r="D4" s="88">
        <v>0.48</v>
      </c>
      <c r="E4" s="88">
        <v>0.47</v>
      </c>
      <c r="F4" s="88">
        <v>0.48</v>
      </c>
      <c r="G4" s="91">
        <v>-0.88</v>
      </c>
      <c r="H4" s="97">
        <v>-0.64710000000000001</v>
      </c>
      <c r="I4" s="83">
        <v>80024</v>
      </c>
      <c r="J4" s="83">
        <v>5622</v>
      </c>
      <c r="K4" s="119">
        <v>0.2114</v>
      </c>
    </row>
    <row r="5" spans="1:11" ht="15" thickBot="1" x14ac:dyDescent="0.4">
      <c r="A5" s="115" t="s">
        <v>574</v>
      </c>
      <c r="B5" s="84" t="s">
        <v>224</v>
      </c>
      <c r="C5" s="104">
        <v>44463</v>
      </c>
      <c r="D5" s="89">
        <v>1.43</v>
      </c>
      <c r="E5" s="89">
        <v>1.42</v>
      </c>
      <c r="F5" s="89">
        <v>1.44</v>
      </c>
      <c r="G5" s="92">
        <v>-0.84</v>
      </c>
      <c r="H5" s="98">
        <v>-0.37</v>
      </c>
      <c r="I5" s="85">
        <v>18940</v>
      </c>
      <c r="J5" s="85">
        <v>3522</v>
      </c>
      <c r="K5" s="120">
        <v>0.20019999999999999</v>
      </c>
    </row>
    <row r="6" spans="1:11" ht="15" thickBot="1" x14ac:dyDescent="0.4">
      <c r="A6" s="116" t="s">
        <v>575</v>
      </c>
      <c r="B6" s="86" t="s">
        <v>87</v>
      </c>
      <c r="C6" s="105">
        <v>44466</v>
      </c>
      <c r="D6" s="90">
        <v>1.9</v>
      </c>
      <c r="E6" s="90">
        <v>1.88</v>
      </c>
      <c r="F6" s="90">
        <v>1.91</v>
      </c>
      <c r="G6" s="93">
        <v>-0.78</v>
      </c>
      <c r="H6" s="99">
        <v>-0.29099999999999998</v>
      </c>
      <c r="I6" s="87">
        <v>3229</v>
      </c>
      <c r="J6" s="87">
        <v>1177</v>
      </c>
      <c r="K6" s="121">
        <v>0.16550000000000001</v>
      </c>
    </row>
    <row r="7" spans="1:11" ht="15" thickBot="1" x14ac:dyDescent="0.4">
      <c r="A7" s="115" t="s">
        <v>576</v>
      </c>
      <c r="B7" s="84" t="s">
        <v>76</v>
      </c>
      <c r="C7" s="104">
        <v>44468</v>
      </c>
      <c r="D7" s="89">
        <v>2.72</v>
      </c>
      <c r="E7" s="89">
        <v>2.54</v>
      </c>
      <c r="F7" s="89">
        <v>2.57</v>
      </c>
      <c r="G7" s="92">
        <v>-0.76</v>
      </c>
      <c r="H7" s="98">
        <v>-0.21840000000000001</v>
      </c>
      <c r="I7" s="85">
        <v>920</v>
      </c>
      <c r="J7" s="85">
        <v>740</v>
      </c>
      <c r="K7" s="120">
        <v>0.17150000000000001</v>
      </c>
    </row>
    <row r="8" spans="1:11" ht="15" thickBot="1" x14ac:dyDescent="0.4">
      <c r="A8" s="116" t="s">
        <v>577</v>
      </c>
      <c r="B8" s="86" t="s">
        <v>84</v>
      </c>
      <c r="C8" s="105">
        <v>44469</v>
      </c>
      <c r="D8" s="90">
        <v>2.86</v>
      </c>
      <c r="E8" s="90">
        <v>2.9</v>
      </c>
      <c r="F8" s="90">
        <v>2.92</v>
      </c>
      <c r="G8" s="93">
        <v>-1.1100000000000001</v>
      </c>
      <c r="H8" s="99">
        <v>-0.27960000000000002</v>
      </c>
      <c r="I8" s="87">
        <v>9480</v>
      </c>
      <c r="J8" s="87">
        <v>3888</v>
      </c>
      <c r="K8" s="121">
        <v>0.17549999999999999</v>
      </c>
    </row>
    <row r="9" spans="1:11" ht="15" thickBot="1" x14ac:dyDescent="0.4">
      <c r="A9" s="115" t="s">
        <v>578</v>
      </c>
      <c r="B9" s="84" t="s">
        <v>224</v>
      </c>
      <c r="C9" s="104">
        <v>44470</v>
      </c>
      <c r="D9" s="89">
        <v>3.29</v>
      </c>
      <c r="E9" s="89">
        <v>3.26</v>
      </c>
      <c r="F9" s="89">
        <v>3.29</v>
      </c>
      <c r="G9" s="92">
        <v>-0.84</v>
      </c>
      <c r="H9" s="98">
        <v>-0.2034</v>
      </c>
      <c r="I9" s="85">
        <v>7757</v>
      </c>
      <c r="J9" s="85">
        <v>1324</v>
      </c>
      <c r="K9" s="120">
        <v>0.1802</v>
      </c>
    </row>
    <row r="10" spans="1:11" ht="15" thickBot="1" x14ac:dyDescent="0.4">
      <c r="A10" s="116" t="s">
        <v>579</v>
      </c>
      <c r="B10" s="86" t="s">
        <v>121</v>
      </c>
      <c r="C10" s="105">
        <v>44473</v>
      </c>
      <c r="D10" s="90">
        <v>3.75</v>
      </c>
      <c r="E10" s="90">
        <v>3.61</v>
      </c>
      <c r="F10" s="90">
        <v>3.65</v>
      </c>
      <c r="G10" s="93">
        <v>-0.92</v>
      </c>
      <c r="H10" s="99">
        <v>-0.19700000000000001</v>
      </c>
      <c r="I10" s="87">
        <v>601</v>
      </c>
      <c r="J10" s="87">
        <v>254</v>
      </c>
      <c r="K10" s="121">
        <v>0.1696</v>
      </c>
    </row>
    <row r="11" spans="1:11" ht="15" thickBot="1" x14ac:dyDescent="0.4">
      <c r="A11" s="115" t="s">
        <v>580</v>
      </c>
      <c r="B11" s="84" t="s">
        <v>121</v>
      </c>
      <c r="C11" s="104">
        <v>44475</v>
      </c>
      <c r="D11" s="89">
        <v>4.33</v>
      </c>
      <c r="E11" s="89">
        <v>4.16</v>
      </c>
      <c r="F11" s="89">
        <v>4.1900000000000004</v>
      </c>
      <c r="G11" s="92">
        <v>-0.35</v>
      </c>
      <c r="H11" s="98">
        <v>-7.4800000000000005E-2</v>
      </c>
      <c r="I11" s="85">
        <v>91</v>
      </c>
      <c r="J11" s="85">
        <v>73</v>
      </c>
      <c r="K11" s="120">
        <v>0.1739</v>
      </c>
    </row>
    <row r="12" spans="1:11" ht="15" thickBot="1" x14ac:dyDescent="0.4">
      <c r="A12" s="116" t="s">
        <v>581</v>
      </c>
      <c r="B12" s="86" t="s">
        <v>80</v>
      </c>
      <c r="C12" s="105">
        <v>44477</v>
      </c>
      <c r="D12" s="90">
        <v>5.23</v>
      </c>
      <c r="E12" s="90">
        <v>4.67</v>
      </c>
      <c r="F12" s="90">
        <v>4.7</v>
      </c>
      <c r="G12" s="93">
        <v>-0.25</v>
      </c>
      <c r="H12" s="99">
        <v>-4.5600000000000002E-2</v>
      </c>
      <c r="I12" s="87">
        <v>437</v>
      </c>
      <c r="J12" s="87">
        <v>667</v>
      </c>
      <c r="K12" s="121">
        <v>0.1774</v>
      </c>
    </row>
    <row r="13" spans="1:11" ht="15" thickBot="1" x14ac:dyDescent="0.4">
      <c r="A13" s="115" t="s">
        <v>582</v>
      </c>
      <c r="B13" s="84" t="s">
        <v>87</v>
      </c>
      <c r="C13" s="104">
        <v>44480</v>
      </c>
      <c r="D13" s="89">
        <v>5</v>
      </c>
      <c r="E13" s="89">
        <v>4.9400000000000004</v>
      </c>
      <c r="F13" s="89">
        <v>4.9800000000000004</v>
      </c>
      <c r="G13" s="92">
        <v>-0.25</v>
      </c>
      <c r="H13" s="98">
        <v>-4.7600000000000003E-2</v>
      </c>
      <c r="I13" s="85">
        <v>24</v>
      </c>
      <c r="J13" s="85">
        <v>55</v>
      </c>
      <c r="K13" s="120">
        <v>0.17069999999999999</v>
      </c>
    </row>
    <row r="14" spans="1:11" ht="15" thickBot="1" x14ac:dyDescent="0.4">
      <c r="A14" s="116" t="s">
        <v>583</v>
      </c>
      <c r="B14" s="86" t="s">
        <v>100</v>
      </c>
      <c r="C14" s="105">
        <v>44482</v>
      </c>
      <c r="D14" s="90">
        <v>5.98</v>
      </c>
      <c r="E14" s="90">
        <v>5.37</v>
      </c>
      <c r="F14" s="90">
        <v>5.41</v>
      </c>
      <c r="G14" s="93">
        <v>-0.33</v>
      </c>
      <c r="H14" s="99">
        <v>-5.2299999999999999E-2</v>
      </c>
      <c r="I14" s="87">
        <v>35</v>
      </c>
      <c r="J14" s="87">
        <v>366</v>
      </c>
      <c r="K14" s="121">
        <v>0.1731</v>
      </c>
    </row>
    <row r="15" spans="1:11" ht="15" thickBot="1" x14ac:dyDescent="0.4">
      <c r="A15" s="115" t="s">
        <v>584</v>
      </c>
      <c r="B15" s="84" t="s">
        <v>124</v>
      </c>
      <c r="C15" s="104">
        <v>44484</v>
      </c>
      <c r="D15" s="89">
        <v>6.08</v>
      </c>
      <c r="E15" s="89">
        <v>5.79</v>
      </c>
      <c r="F15" s="89">
        <v>5.81</v>
      </c>
      <c r="G15" s="92">
        <v>-0.56000000000000005</v>
      </c>
      <c r="H15" s="98">
        <v>-8.43E-2</v>
      </c>
      <c r="I15" s="85">
        <v>3137</v>
      </c>
      <c r="J15" s="85">
        <v>8744</v>
      </c>
      <c r="K15" s="120">
        <v>0.17499999999999999</v>
      </c>
    </row>
    <row r="16" spans="1:11" ht="15" thickBot="1" x14ac:dyDescent="0.4">
      <c r="A16" s="116" t="s">
        <v>585</v>
      </c>
      <c r="B16" s="86" t="s">
        <v>251</v>
      </c>
      <c r="C16" s="105">
        <v>44487</v>
      </c>
      <c r="D16" s="90">
        <v>7.3</v>
      </c>
      <c r="E16" s="90">
        <v>6.02</v>
      </c>
      <c r="F16" s="90">
        <v>6.1</v>
      </c>
      <c r="G16" s="94">
        <v>0.61</v>
      </c>
      <c r="H16" s="100">
        <v>9.1200000000000003E-2</v>
      </c>
      <c r="I16" s="87">
        <v>78</v>
      </c>
      <c r="J16" s="87">
        <v>136</v>
      </c>
      <c r="K16" s="121">
        <v>0.17119999999999999</v>
      </c>
    </row>
    <row r="17" spans="1:11" ht="15" thickBot="1" x14ac:dyDescent="0.4">
      <c r="A17" s="115" t="s">
        <v>586</v>
      </c>
      <c r="B17" s="84" t="s">
        <v>78</v>
      </c>
      <c r="C17" s="104">
        <v>44491</v>
      </c>
      <c r="D17" s="89">
        <v>7.13</v>
      </c>
      <c r="E17" s="89">
        <v>6.84</v>
      </c>
      <c r="F17" s="89">
        <v>6.86</v>
      </c>
      <c r="G17" s="95">
        <v>0.54</v>
      </c>
      <c r="H17" s="101">
        <v>8.1900000000000001E-2</v>
      </c>
      <c r="I17" s="85">
        <v>111</v>
      </c>
      <c r="J17" s="85">
        <v>178</v>
      </c>
      <c r="K17" s="120">
        <v>0.17510000000000001</v>
      </c>
    </row>
    <row r="18" spans="1:11" ht="15" thickBot="1" x14ac:dyDescent="0.4">
      <c r="A18" s="116" t="s">
        <v>90</v>
      </c>
      <c r="B18" s="86" t="s">
        <v>91</v>
      </c>
      <c r="C18" s="105">
        <v>44498</v>
      </c>
      <c r="D18" s="90">
        <v>7.97</v>
      </c>
      <c r="E18" s="90">
        <v>7.83</v>
      </c>
      <c r="F18" s="90">
        <v>7.88</v>
      </c>
      <c r="G18" s="93">
        <v>-0.81</v>
      </c>
      <c r="H18" s="99">
        <v>-9.2299999999999993E-2</v>
      </c>
      <c r="I18" s="87">
        <v>161</v>
      </c>
      <c r="J18" s="87">
        <v>236</v>
      </c>
      <c r="K18" s="121">
        <v>0.1767</v>
      </c>
    </row>
    <row r="19" spans="1:11" ht="15" thickBot="1" x14ac:dyDescent="0.4">
      <c r="A19" s="115" t="s">
        <v>587</v>
      </c>
      <c r="B19" s="84" t="s">
        <v>80</v>
      </c>
      <c r="C19" s="104">
        <v>44519</v>
      </c>
      <c r="D19" s="89">
        <v>11.14</v>
      </c>
      <c r="E19" s="89">
        <v>10.5</v>
      </c>
      <c r="F19" s="89">
        <v>10.54</v>
      </c>
      <c r="G19" s="92">
        <v>-0.15</v>
      </c>
      <c r="H19" s="98">
        <v>-1.3299999999999999E-2</v>
      </c>
      <c r="I19" s="85">
        <v>1042</v>
      </c>
      <c r="J19" s="85">
        <v>3923</v>
      </c>
      <c r="K19" s="120">
        <v>0.18029999999999999</v>
      </c>
    </row>
    <row r="20" spans="1:11" ht="15" thickBot="1" x14ac:dyDescent="0.4">
      <c r="A20" s="116" t="s">
        <v>588</v>
      </c>
      <c r="B20" s="86" t="s">
        <v>78</v>
      </c>
      <c r="C20" s="105">
        <v>44547</v>
      </c>
      <c r="D20" s="90">
        <v>13.6</v>
      </c>
      <c r="E20" s="90">
        <v>13.14</v>
      </c>
      <c r="F20" s="90">
        <v>13.19</v>
      </c>
      <c r="G20" s="93">
        <v>-0.56000000000000005</v>
      </c>
      <c r="H20" s="99">
        <v>-3.95E-2</v>
      </c>
      <c r="I20" s="87">
        <v>1373</v>
      </c>
      <c r="J20" s="87">
        <v>2031</v>
      </c>
      <c r="K20" s="121">
        <v>0.18</v>
      </c>
    </row>
    <row r="21" spans="1:11" ht="15" thickBot="1" x14ac:dyDescent="0.4">
      <c r="A21" s="115" t="s">
        <v>589</v>
      </c>
      <c r="B21" s="84" t="s">
        <v>229</v>
      </c>
      <c r="C21" s="104">
        <v>44561</v>
      </c>
      <c r="D21" s="89">
        <v>15.03</v>
      </c>
      <c r="E21" s="89">
        <v>14.19</v>
      </c>
      <c r="F21" s="89">
        <v>14.25</v>
      </c>
      <c r="G21" s="92">
        <v>-7.0000000000000007E-2</v>
      </c>
      <c r="H21" s="98">
        <v>-4.5999999999999999E-3</v>
      </c>
      <c r="I21" s="85">
        <v>8</v>
      </c>
      <c r="J21" s="85">
        <v>629</v>
      </c>
      <c r="K21" s="120">
        <v>0.1787</v>
      </c>
    </row>
    <row r="22" spans="1:11" ht="15" thickBot="1" x14ac:dyDescent="0.4">
      <c r="A22" s="116" t="s">
        <v>590</v>
      </c>
      <c r="B22" s="86" t="s">
        <v>121</v>
      </c>
      <c r="C22" s="105">
        <v>44582</v>
      </c>
      <c r="D22" s="90">
        <v>16.239999999999998</v>
      </c>
      <c r="E22" s="90">
        <v>16.04</v>
      </c>
      <c r="F22" s="90">
        <v>16.11</v>
      </c>
      <c r="G22" s="93">
        <v>-0.38</v>
      </c>
      <c r="H22" s="99">
        <v>-2.29E-2</v>
      </c>
      <c r="I22" s="87">
        <v>573</v>
      </c>
      <c r="J22" s="87">
        <v>3895</v>
      </c>
      <c r="K22" s="121">
        <v>0.1812</v>
      </c>
    </row>
    <row r="23" spans="1:11" ht="15" thickBot="1" x14ac:dyDescent="0.4">
      <c r="A23" s="115" t="s">
        <v>591</v>
      </c>
      <c r="B23" s="84" t="s">
        <v>285</v>
      </c>
      <c r="C23" s="104">
        <v>44610</v>
      </c>
      <c r="D23" s="89">
        <v>19.55</v>
      </c>
      <c r="E23" s="89">
        <v>18.62</v>
      </c>
      <c r="F23" s="89">
        <v>18.690000000000001</v>
      </c>
      <c r="G23" s="92">
        <v>-0.76</v>
      </c>
      <c r="H23" s="98">
        <v>-3.7400000000000003E-2</v>
      </c>
      <c r="I23" s="85">
        <v>6</v>
      </c>
      <c r="J23" s="85">
        <v>1013</v>
      </c>
      <c r="K23" s="120">
        <v>0.1867</v>
      </c>
    </row>
    <row r="24" spans="1:11" ht="15" thickBot="1" x14ac:dyDescent="0.4">
      <c r="A24" s="116" t="s">
        <v>592</v>
      </c>
      <c r="B24" s="86" t="s">
        <v>251</v>
      </c>
      <c r="C24" s="105">
        <v>44638</v>
      </c>
      <c r="D24" s="90">
        <v>21.96</v>
      </c>
      <c r="E24" s="90">
        <v>20.58</v>
      </c>
      <c r="F24" s="90">
        <v>20.77</v>
      </c>
      <c r="G24" s="94">
        <v>1.1499999999999999</v>
      </c>
      <c r="H24" s="100">
        <v>5.5300000000000002E-2</v>
      </c>
      <c r="I24" s="87">
        <v>43</v>
      </c>
      <c r="J24" s="87">
        <v>560</v>
      </c>
      <c r="K24" s="121">
        <v>0.18859999999999999</v>
      </c>
    </row>
    <row r="25" spans="1:11" ht="15" thickBot="1" x14ac:dyDescent="0.4">
      <c r="A25" s="115" t="s">
        <v>593</v>
      </c>
      <c r="B25" s="84" t="s">
        <v>594</v>
      </c>
      <c r="C25" s="104">
        <v>44651</v>
      </c>
      <c r="D25" s="89">
        <v>23.2</v>
      </c>
      <c r="E25" s="89">
        <v>21.22</v>
      </c>
      <c r="F25" s="89">
        <v>21.6</v>
      </c>
      <c r="G25" s="92">
        <v>-0.05</v>
      </c>
      <c r="H25" s="98">
        <v>-2.2000000000000001E-3</v>
      </c>
      <c r="I25" s="85">
        <v>1</v>
      </c>
      <c r="J25" s="85">
        <v>48</v>
      </c>
      <c r="K25" s="120">
        <v>0.18870000000000001</v>
      </c>
    </row>
    <row r="26" spans="1:11" ht="15" thickBot="1" x14ac:dyDescent="0.4">
      <c r="A26" s="116" t="s">
        <v>595</v>
      </c>
      <c r="B26" s="86" t="s">
        <v>596</v>
      </c>
      <c r="C26" s="105">
        <v>44729</v>
      </c>
      <c r="D26" s="90">
        <v>27.75</v>
      </c>
      <c r="E26" s="90">
        <v>26.2</v>
      </c>
      <c r="F26" s="90">
        <v>26.5</v>
      </c>
      <c r="G26" s="94">
        <v>2.2799999999999998</v>
      </c>
      <c r="H26" s="100">
        <v>8.9499999999999996E-2</v>
      </c>
      <c r="I26" s="87">
        <v>1</v>
      </c>
      <c r="J26" s="87">
        <v>177</v>
      </c>
      <c r="K26" s="121">
        <v>0.19189999999999999</v>
      </c>
    </row>
    <row r="27" spans="1:11" ht="15" thickBot="1" x14ac:dyDescent="0.4">
      <c r="A27" s="115" t="s">
        <v>597</v>
      </c>
      <c r="B27" s="84" t="s">
        <v>598</v>
      </c>
      <c r="C27" s="104">
        <v>44742</v>
      </c>
      <c r="D27" s="89">
        <v>26.8</v>
      </c>
      <c r="E27" s="89">
        <v>26.67</v>
      </c>
      <c r="F27" s="89">
        <v>27.45</v>
      </c>
      <c r="G27" s="138">
        <v>0</v>
      </c>
      <c r="H27" s="139" t="s">
        <v>11</v>
      </c>
      <c r="I27" s="85">
        <v>3</v>
      </c>
      <c r="J27" s="85">
        <v>9</v>
      </c>
      <c r="K27" s="120">
        <v>0.19370000000000001</v>
      </c>
    </row>
    <row r="28" spans="1:11" ht="15" thickBot="1" x14ac:dyDescent="0.4">
      <c r="A28" s="148" t="s">
        <v>599</v>
      </c>
      <c r="B28" s="141" t="s">
        <v>600</v>
      </c>
      <c r="C28" s="142">
        <v>44820</v>
      </c>
      <c r="D28" s="143">
        <v>32.44</v>
      </c>
      <c r="E28" s="143">
        <v>30.88</v>
      </c>
      <c r="F28" s="143">
        <v>31.42</v>
      </c>
      <c r="G28" s="163">
        <v>-0.22</v>
      </c>
      <c r="H28" s="164">
        <v>-6.7000000000000002E-3</v>
      </c>
      <c r="I28" s="146">
        <v>5</v>
      </c>
      <c r="J28" s="146">
        <v>1</v>
      </c>
      <c r="K28" s="150">
        <v>0.19450000000000001</v>
      </c>
    </row>
    <row r="29" spans="1:11" x14ac:dyDescent="0.35">
      <c r="A29" s="39" t="s">
        <v>394</v>
      </c>
      <c r="B29"/>
      <c r="C29"/>
      <c r="D29"/>
      <c r="E29"/>
      <c r="F29"/>
      <c r="G29"/>
      <c r="H29"/>
      <c r="I29"/>
      <c r="J29"/>
      <c r="K29"/>
    </row>
    <row r="30" spans="1:11" ht="22.5" thickBot="1" x14ac:dyDescent="0.4">
      <c r="A30" s="40" t="s">
        <v>0</v>
      </c>
      <c r="B30" s="41" t="s">
        <v>1</v>
      </c>
      <c r="C30" s="42" t="s">
        <v>22</v>
      </c>
      <c r="D30" s="41" t="s">
        <v>3</v>
      </c>
      <c r="E30" s="41" t="s">
        <v>4</v>
      </c>
      <c r="F30" s="41" t="s">
        <v>5</v>
      </c>
      <c r="G30" s="41" t="s">
        <v>6</v>
      </c>
      <c r="H30" s="41" t="s">
        <v>7</v>
      </c>
      <c r="I30" s="41" t="s">
        <v>8</v>
      </c>
      <c r="J30" s="41" t="s">
        <v>9</v>
      </c>
      <c r="K30" s="41" t="s">
        <v>10</v>
      </c>
    </row>
    <row r="31" spans="1:11" ht="15" thickBot="1" x14ac:dyDescent="0.4">
      <c r="A31" s="43" t="s">
        <v>601</v>
      </c>
      <c r="B31" s="44" t="s">
        <v>224</v>
      </c>
      <c r="C31" s="59">
        <v>44461</v>
      </c>
      <c r="D31" s="44">
        <v>5.55</v>
      </c>
      <c r="E31" s="44">
        <v>5.57</v>
      </c>
      <c r="F31" s="44">
        <v>5.67</v>
      </c>
      <c r="G31" s="48">
        <v>-0.45</v>
      </c>
      <c r="H31" s="49">
        <v>-7.4999999999999997E-2</v>
      </c>
      <c r="I31" s="58">
        <v>22258</v>
      </c>
      <c r="J31" s="58">
        <v>8704</v>
      </c>
      <c r="K31" s="45">
        <v>0.3286</v>
      </c>
    </row>
    <row r="32" spans="1:11" ht="15" thickBot="1" x14ac:dyDescent="0.4">
      <c r="A32" s="43" t="s">
        <v>602</v>
      </c>
      <c r="B32" s="44" t="s">
        <v>82</v>
      </c>
      <c r="C32" s="59">
        <v>44463</v>
      </c>
      <c r="D32" s="44">
        <v>6.28</v>
      </c>
      <c r="E32" s="44">
        <v>6.51</v>
      </c>
      <c r="F32" s="44">
        <v>6.59</v>
      </c>
      <c r="G32" s="48">
        <v>-0.1</v>
      </c>
      <c r="H32" s="49">
        <v>-1.5699999999999999E-2</v>
      </c>
      <c r="I32" s="58">
        <v>8135</v>
      </c>
      <c r="J32" s="58">
        <v>7310</v>
      </c>
      <c r="K32" s="45">
        <v>0.25600000000000001</v>
      </c>
    </row>
    <row r="33" spans="1:11" ht="15" thickBot="1" x14ac:dyDescent="0.4">
      <c r="A33" s="43" t="s">
        <v>603</v>
      </c>
      <c r="B33" s="44" t="s">
        <v>82</v>
      </c>
      <c r="C33" s="59">
        <v>44466</v>
      </c>
      <c r="D33" s="44">
        <v>6.77</v>
      </c>
      <c r="E33" s="44">
        <v>6.95</v>
      </c>
      <c r="F33" s="44">
        <v>7.02</v>
      </c>
      <c r="G33" s="48">
        <v>-0.45</v>
      </c>
      <c r="H33" s="49">
        <v>-6.2300000000000001E-2</v>
      </c>
      <c r="I33" s="58">
        <v>2006</v>
      </c>
      <c r="J33" s="44">
        <v>844</v>
      </c>
      <c r="K33" s="45">
        <v>0.20200000000000001</v>
      </c>
    </row>
    <row r="34" spans="1:11" ht="15" thickBot="1" x14ac:dyDescent="0.4">
      <c r="A34" s="43" t="s">
        <v>604</v>
      </c>
      <c r="B34" s="44" t="s">
        <v>87</v>
      </c>
      <c r="C34" s="59">
        <v>44468</v>
      </c>
      <c r="D34" s="44">
        <v>7.62</v>
      </c>
      <c r="E34" s="44">
        <v>7.6</v>
      </c>
      <c r="F34" s="44">
        <v>7.73</v>
      </c>
      <c r="G34" s="48">
        <v>-0.23</v>
      </c>
      <c r="H34" s="49">
        <v>-2.93E-2</v>
      </c>
      <c r="I34" s="44">
        <v>958</v>
      </c>
      <c r="J34" s="44">
        <v>643</v>
      </c>
      <c r="K34" s="45">
        <v>0.2044</v>
      </c>
    </row>
    <row r="35" spans="1:11" ht="15" thickBot="1" x14ac:dyDescent="0.4">
      <c r="A35" s="43" t="s">
        <v>605</v>
      </c>
      <c r="B35" s="44" t="s">
        <v>84</v>
      </c>
      <c r="C35" s="59">
        <v>44469</v>
      </c>
      <c r="D35" s="44">
        <v>8</v>
      </c>
      <c r="E35" s="44">
        <v>7.95</v>
      </c>
      <c r="F35" s="44">
        <v>8.0299999999999994</v>
      </c>
      <c r="G35" s="48">
        <v>-0.18</v>
      </c>
      <c r="H35" s="49">
        <v>-2.1999999999999999E-2</v>
      </c>
      <c r="I35" s="44">
        <v>975</v>
      </c>
      <c r="J35" s="58">
        <v>5144</v>
      </c>
      <c r="K35" s="45">
        <v>0.20419999999999999</v>
      </c>
    </row>
    <row r="36" spans="1:11" ht="15" thickBot="1" x14ac:dyDescent="0.4">
      <c r="A36" s="43" t="s">
        <v>606</v>
      </c>
      <c r="B36" s="44" t="s">
        <v>127</v>
      </c>
      <c r="C36" s="59">
        <v>44470</v>
      </c>
      <c r="D36" s="44">
        <v>7.15</v>
      </c>
      <c r="E36" s="44">
        <v>8.31</v>
      </c>
      <c r="F36" s="44">
        <v>8.41</v>
      </c>
      <c r="G36" s="48">
        <v>-0.8</v>
      </c>
      <c r="H36" s="49">
        <v>-0.10059999999999999</v>
      </c>
      <c r="I36" s="58">
        <v>2308</v>
      </c>
      <c r="J36" s="58">
        <v>6003</v>
      </c>
      <c r="K36" s="45">
        <v>0.20760000000000001</v>
      </c>
    </row>
    <row r="37" spans="1:11" ht="15" thickBot="1" x14ac:dyDescent="0.4">
      <c r="A37" s="43" t="s">
        <v>607</v>
      </c>
      <c r="B37" s="44" t="s">
        <v>608</v>
      </c>
      <c r="C37" s="59">
        <v>44473</v>
      </c>
      <c r="D37" s="44">
        <v>7.25</v>
      </c>
      <c r="E37" s="44">
        <v>8.67</v>
      </c>
      <c r="F37" s="44">
        <v>8.77</v>
      </c>
      <c r="G37" s="48">
        <v>-2.5</v>
      </c>
      <c r="H37" s="49">
        <v>-0.25640000000000002</v>
      </c>
      <c r="I37" s="44">
        <v>237</v>
      </c>
      <c r="J37" s="44">
        <v>386</v>
      </c>
      <c r="K37" s="45">
        <v>0.19350000000000001</v>
      </c>
    </row>
    <row r="38" spans="1:11" ht="15" thickBot="1" x14ac:dyDescent="0.4">
      <c r="A38" s="43" t="s">
        <v>609</v>
      </c>
      <c r="B38" s="44" t="s">
        <v>124</v>
      </c>
      <c r="C38" s="59">
        <v>44475</v>
      </c>
      <c r="D38" s="44">
        <v>8.6</v>
      </c>
      <c r="E38" s="44">
        <v>9.1999999999999993</v>
      </c>
      <c r="F38" s="44">
        <v>9.31</v>
      </c>
      <c r="G38" s="48">
        <v>-2.2799999999999998</v>
      </c>
      <c r="H38" s="49">
        <v>-0.20960000000000001</v>
      </c>
      <c r="I38" s="44">
        <v>74</v>
      </c>
      <c r="J38" s="44">
        <v>441</v>
      </c>
      <c r="K38" s="45">
        <v>0.19600000000000001</v>
      </c>
    </row>
    <row r="39" spans="1:11" ht="15" thickBot="1" x14ac:dyDescent="0.4">
      <c r="A39" s="43" t="s">
        <v>610</v>
      </c>
      <c r="B39" s="44" t="s">
        <v>84</v>
      </c>
      <c r="C39" s="59">
        <v>44477</v>
      </c>
      <c r="D39" s="44">
        <v>9.92</v>
      </c>
      <c r="E39" s="44">
        <v>9.6999999999999993</v>
      </c>
      <c r="F39" s="44">
        <v>9.81</v>
      </c>
      <c r="G39" s="46">
        <v>0.41</v>
      </c>
      <c r="H39" s="47">
        <v>4.3099999999999999E-2</v>
      </c>
      <c r="I39" s="44">
        <v>403</v>
      </c>
      <c r="J39" s="58">
        <v>1510</v>
      </c>
      <c r="K39" s="45">
        <v>0.1978</v>
      </c>
    </row>
    <row r="40" spans="1:11" ht="15" thickBot="1" x14ac:dyDescent="0.4">
      <c r="A40" s="43" t="s">
        <v>611</v>
      </c>
      <c r="B40" s="44" t="s">
        <v>114</v>
      </c>
      <c r="C40" s="59">
        <v>44480</v>
      </c>
      <c r="D40" s="44">
        <v>9.67</v>
      </c>
      <c r="E40" s="44">
        <v>9.9700000000000006</v>
      </c>
      <c r="F40" s="44">
        <v>10.07</v>
      </c>
      <c r="G40" s="48">
        <v>-0.66</v>
      </c>
      <c r="H40" s="49">
        <v>-6.3899999999999998E-2</v>
      </c>
      <c r="I40" s="44">
        <v>39</v>
      </c>
      <c r="J40" s="44">
        <v>281</v>
      </c>
      <c r="K40" s="45">
        <v>0.189</v>
      </c>
    </row>
    <row r="41" spans="1:11" ht="15" thickBot="1" x14ac:dyDescent="0.4">
      <c r="A41" s="43" t="s">
        <v>612</v>
      </c>
      <c r="B41" s="44" t="s">
        <v>613</v>
      </c>
      <c r="C41" s="59">
        <v>44482</v>
      </c>
      <c r="D41" s="44">
        <v>8.77</v>
      </c>
      <c r="E41" s="44">
        <v>10.35</v>
      </c>
      <c r="F41" s="44">
        <v>10.55</v>
      </c>
      <c r="G41" s="48">
        <v>-3.55</v>
      </c>
      <c r="H41" s="49">
        <v>-0.28810000000000002</v>
      </c>
      <c r="I41" s="44">
        <v>54</v>
      </c>
      <c r="J41" s="44">
        <v>194</v>
      </c>
      <c r="K41" s="45">
        <v>0.19170000000000001</v>
      </c>
    </row>
    <row r="42" spans="1:11" ht="15" thickBot="1" x14ac:dyDescent="0.4">
      <c r="A42" s="43" t="s">
        <v>614</v>
      </c>
      <c r="B42" s="44" t="s">
        <v>87</v>
      </c>
      <c r="C42" s="59">
        <v>44484</v>
      </c>
      <c r="D42" s="44">
        <v>10.75</v>
      </c>
      <c r="E42" s="44">
        <v>10.75</v>
      </c>
      <c r="F42" s="44">
        <v>10.88</v>
      </c>
      <c r="G42" s="46">
        <v>0.45</v>
      </c>
      <c r="H42" s="47">
        <v>4.3700000000000003E-2</v>
      </c>
      <c r="I42" s="58">
        <v>3200</v>
      </c>
      <c r="J42" s="58">
        <v>16921</v>
      </c>
      <c r="K42" s="45">
        <v>0.19109999999999999</v>
      </c>
    </row>
    <row r="43" spans="1:11" ht="15" thickBot="1" x14ac:dyDescent="0.4">
      <c r="A43" s="43" t="s">
        <v>615</v>
      </c>
      <c r="B43" s="44" t="s">
        <v>616</v>
      </c>
      <c r="C43" s="59">
        <v>44487</v>
      </c>
      <c r="D43" s="44">
        <v>10.050000000000001</v>
      </c>
      <c r="E43" s="44">
        <v>10.97</v>
      </c>
      <c r="F43" s="44">
        <v>11.21</v>
      </c>
      <c r="G43" s="48">
        <v>-0.11</v>
      </c>
      <c r="H43" s="49">
        <v>-1.0800000000000001E-2</v>
      </c>
      <c r="I43" s="44">
        <v>19</v>
      </c>
      <c r="J43" s="44">
        <v>208</v>
      </c>
      <c r="K43" s="45">
        <v>0.18729999999999999</v>
      </c>
    </row>
    <row r="44" spans="1:11" ht="15" thickBot="1" x14ac:dyDescent="0.4">
      <c r="A44" s="43" t="s">
        <v>617</v>
      </c>
      <c r="B44" s="44" t="s">
        <v>618</v>
      </c>
      <c r="C44" s="59">
        <v>44489</v>
      </c>
      <c r="D44" s="44">
        <v>9.77</v>
      </c>
      <c r="E44" s="44">
        <v>11.35</v>
      </c>
      <c r="F44" s="44">
        <v>11.6</v>
      </c>
      <c r="G44" s="48">
        <v>-3.58</v>
      </c>
      <c r="H44" s="49">
        <v>-0.26819999999999999</v>
      </c>
      <c r="I44" s="44">
        <v>53</v>
      </c>
      <c r="J44" s="44">
        <v>28</v>
      </c>
      <c r="K44" s="45">
        <v>0.18890000000000001</v>
      </c>
    </row>
    <row r="45" spans="1:11" ht="15" thickBot="1" x14ac:dyDescent="0.4">
      <c r="A45" s="43" t="s">
        <v>619</v>
      </c>
      <c r="B45" s="44" t="s">
        <v>620</v>
      </c>
      <c r="C45" s="59">
        <v>44491</v>
      </c>
      <c r="D45" s="44">
        <v>10.37</v>
      </c>
      <c r="E45" s="44">
        <v>11.73</v>
      </c>
      <c r="F45" s="44">
        <v>11.95</v>
      </c>
      <c r="G45" s="48">
        <v>-1.1299999999999999</v>
      </c>
      <c r="H45" s="49">
        <v>-9.8299999999999998E-2</v>
      </c>
      <c r="I45" s="44">
        <v>87</v>
      </c>
      <c r="J45" s="44">
        <v>292</v>
      </c>
      <c r="K45" s="45">
        <v>0.18970000000000001</v>
      </c>
    </row>
    <row r="46" spans="1:11" ht="15" thickBot="1" x14ac:dyDescent="0.4">
      <c r="A46" s="43" t="s">
        <v>301</v>
      </c>
      <c r="B46" s="44" t="s">
        <v>302</v>
      </c>
      <c r="C46" s="59">
        <v>44498</v>
      </c>
      <c r="D46" s="44">
        <v>11.13</v>
      </c>
      <c r="E46" s="44">
        <v>12.74</v>
      </c>
      <c r="F46" s="44">
        <v>12.95</v>
      </c>
      <c r="G46" s="48">
        <v>-2.76</v>
      </c>
      <c r="H46" s="49">
        <v>-0.19869999999999999</v>
      </c>
      <c r="I46" s="44">
        <v>115</v>
      </c>
      <c r="J46" s="44">
        <v>131</v>
      </c>
      <c r="K46" s="45">
        <v>0.18940000000000001</v>
      </c>
    </row>
    <row r="47" spans="1:11" ht="15" thickBot="1" x14ac:dyDescent="0.4">
      <c r="A47" s="43" t="s">
        <v>621</v>
      </c>
      <c r="B47" s="44" t="s">
        <v>84</v>
      </c>
      <c r="C47" s="59">
        <v>44519</v>
      </c>
      <c r="D47" s="44">
        <v>15.53</v>
      </c>
      <c r="E47" s="44">
        <v>15.43</v>
      </c>
      <c r="F47" s="44">
        <v>15.48</v>
      </c>
      <c r="G47" s="46">
        <v>0.11</v>
      </c>
      <c r="H47" s="47">
        <v>7.1000000000000004E-3</v>
      </c>
      <c r="I47" s="44">
        <v>679</v>
      </c>
      <c r="J47" s="58">
        <v>7184</v>
      </c>
      <c r="K47" s="45">
        <v>0.18870000000000001</v>
      </c>
    </row>
    <row r="48" spans="1:11" ht="15" thickBot="1" x14ac:dyDescent="0.4">
      <c r="A48" s="43" t="s">
        <v>622</v>
      </c>
      <c r="B48" s="44" t="s">
        <v>84</v>
      </c>
      <c r="C48" s="59">
        <v>44547</v>
      </c>
      <c r="D48" s="44">
        <v>19</v>
      </c>
      <c r="E48" s="44">
        <v>18.89</v>
      </c>
      <c r="F48" s="44">
        <v>18.940000000000001</v>
      </c>
      <c r="G48" s="48">
        <v>-1.59</v>
      </c>
      <c r="H48" s="49">
        <v>-7.7200000000000005E-2</v>
      </c>
      <c r="I48" s="44">
        <v>428</v>
      </c>
      <c r="J48" s="58">
        <v>2230</v>
      </c>
      <c r="K48" s="45">
        <v>0.19639999999999999</v>
      </c>
    </row>
    <row r="49" spans="1:11" ht="15" thickBot="1" x14ac:dyDescent="0.4">
      <c r="A49" s="43" t="s">
        <v>623</v>
      </c>
      <c r="B49" s="44" t="s">
        <v>624</v>
      </c>
      <c r="C49" s="59">
        <v>44561</v>
      </c>
      <c r="D49" s="44">
        <v>18.489999999999998</v>
      </c>
      <c r="E49" s="44">
        <v>19.760000000000002</v>
      </c>
      <c r="F49" s="44">
        <v>20.5</v>
      </c>
      <c r="G49" s="48">
        <v>-2.88</v>
      </c>
      <c r="H49" s="49">
        <v>-0.1348</v>
      </c>
      <c r="I49" s="44">
        <v>10</v>
      </c>
      <c r="J49" s="44">
        <v>393</v>
      </c>
      <c r="K49" s="45">
        <v>0.19950000000000001</v>
      </c>
    </row>
    <row r="50" spans="1:11" ht="15" thickBot="1" x14ac:dyDescent="0.4">
      <c r="A50" s="43" t="s">
        <v>625</v>
      </c>
      <c r="B50" s="44" t="s">
        <v>626</v>
      </c>
      <c r="C50" s="59">
        <v>44582</v>
      </c>
      <c r="D50" s="44">
        <v>21.14</v>
      </c>
      <c r="E50" s="44">
        <v>21.83</v>
      </c>
      <c r="F50" s="44">
        <v>22.07</v>
      </c>
      <c r="G50" s="48">
        <v>-2.21</v>
      </c>
      <c r="H50" s="49">
        <v>-9.4600000000000004E-2</v>
      </c>
      <c r="I50" s="44">
        <v>12</v>
      </c>
      <c r="J50" s="58">
        <v>3217</v>
      </c>
      <c r="K50" s="45">
        <v>0.19719999999999999</v>
      </c>
    </row>
    <row r="51" spans="1:11" ht="15" thickBot="1" x14ac:dyDescent="0.4">
      <c r="A51" s="43" t="s">
        <v>627</v>
      </c>
      <c r="B51" s="44" t="s">
        <v>628</v>
      </c>
      <c r="C51" s="59">
        <v>44610</v>
      </c>
      <c r="D51" s="44">
        <v>23.79</v>
      </c>
      <c r="E51" s="44">
        <v>24.3</v>
      </c>
      <c r="F51" s="44">
        <v>24.56</v>
      </c>
      <c r="G51" s="44">
        <v>0</v>
      </c>
      <c r="H51" s="44" t="s">
        <v>11</v>
      </c>
      <c r="I51" s="44">
        <v>8</v>
      </c>
      <c r="J51" s="58">
        <v>2180</v>
      </c>
      <c r="K51" s="45">
        <v>0.20039999999999999</v>
      </c>
    </row>
    <row r="52" spans="1:11" ht="15" thickBot="1" x14ac:dyDescent="0.4">
      <c r="A52" s="43" t="s">
        <v>629</v>
      </c>
      <c r="B52" s="44" t="s">
        <v>630</v>
      </c>
      <c r="C52" s="59">
        <v>44638</v>
      </c>
      <c r="D52" s="44">
        <v>25.37</v>
      </c>
      <c r="E52" s="44">
        <v>26.86</v>
      </c>
      <c r="F52" s="44">
        <v>27.13</v>
      </c>
      <c r="G52" s="48">
        <v>-3.53</v>
      </c>
      <c r="H52" s="49">
        <v>-0.1221</v>
      </c>
      <c r="I52" s="44">
        <v>2</v>
      </c>
      <c r="J52" s="44">
        <v>482</v>
      </c>
      <c r="K52" s="45">
        <v>0.20519999999999999</v>
      </c>
    </row>
    <row r="53" spans="1:11" ht="15" thickBot="1" x14ac:dyDescent="0.4">
      <c r="A53" s="43" t="s">
        <v>631</v>
      </c>
      <c r="B53" s="44" t="s">
        <v>632</v>
      </c>
      <c r="C53" s="59">
        <v>44651</v>
      </c>
      <c r="D53" s="44">
        <v>26.99</v>
      </c>
      <c r="E53" s="44">
        <v>27.64</v>
      </c>
      <c r="F53" s="44">
        <v>28.13</v>
      </c>
      <c r="G53" s="44">
        <v>0</v>
      </c>
      <c r="H53" s="44" t="s">
        <v>11</v>
      </c>
      <c r="I53" s="44">
        <v>2</v>
      </c>
      <c r="J53" s="44">
        <v>14</v>
      </c>
      <c r="K53" s="45">
        <v>0.20610000000000001</v>
      </c>
    </row>
    <row r="54" spans="1:11" ht="15" thickBot="1" x14ac:dyDescent="0.4">
      <c r="A54" s="43" t="s">
        <v>633</v>
      </c>
      <c r="B54" s="44" t="s">
        <v>634</v>
      </c>
      <c r="C54" s="59">
        <v>44729</v>
      </c>
      <c r="D54" s="44">
        <v>36.28</v>
      </c>
      <c r="E54" s="44">
        <v>33.340000000000003</v>
      </c>
      <c r="F54" s="44">
        <v>33.729999999999997</v>
      </c>
      <c r="G54" s="44">
        <v>0</v>
      </c>
      <c r="H54" s="44" t="s">
        <v>11</v>
      </c>
      <c r="I54" s="44">
        <v>5</v>
      </c>
      <c r="J54" s="44">
        <v>184</v>
      </c>
      <c r="K54" s="45">
        <v>0.2114</v>
      </c>
    </row>
    <row r="55" spans="1:11" ht="15" thickBot="1" x14ac:dyDescent="0.4">
      <c r="A55" s="43" t="s">
        <v>635</v>
      </c>
      <c r="B55" s="44" t="s">
        <v>427</v>
      </c>
      <c r="C55" s="59">
        <v>44742</v>
      </c>
      <c r="D55" s="44">
        <v>29.14</v>
      </c>
      <c r="E55" s="44">
        <v>33.86</v>
      </c>
      <c r="F55" s="44">
        <v>34.869999999999997</v>
      </c>
      <c r="G55" s="44">
        <v>0</v>
      </c>
      <c r="H55" s="44" t="s">
        <v>11</v>
      </c>
      <c r="I55" s="44">
        <v>1</v>
      </c>
      <c r="J55" s="44">
        <v>6</v>
      </c>
      <c r="K55" s="45">
        <v>0.214</v>
      </c>
    </row>
    <row r="56" spans="1:11" ht="15" thickBot="1" x14ac:dyDescent="0.4">
      <c r="A56" s="43" t="s">
        <v>636</v>
      </c>
      <c r="B56" s="44" t="s">
        <v>637</v>
      </c>
      <c r="C56" s="59">
        <v>44820</v>
      </c>
      <c r="D56" s="44">
        <v>33.090000000000003</v>
      </c>
      <c r="E56" s="44">
        <v>38.93</v>
      </c>
      <c r="F56" s="44">
        <v>39.5</v>
      </c>
      <c r="G56" s="44">
        <v>0</v>
      </c>
      <c r="H56" s="44" t="s">
        <v>11</v>
      </c>
      <c r="I56" s="44">
        <v>1</v>
      </c>
      <c r="J56" s="44">
        <v>2</v>
      </c>
      <c r="K56" s="45">
        <v>0.21640000000000001</v>
      </c>
    </row>
    <row r="57" spans="1:11" x14ac:dyDescent="0.35">
      <c r="A57" s="20"/>
      <c r="B57" s="21"/>
      <c r="C57" s="38"/>
      <c r="D57" s="21"/>
      <c r="E57" s="21"/>
      <c r="F57" s="21"/>
      <c r="G57" s="21"/>
      <c r="H57" s="21"/>
      <c r="I57" s="21"/>
      <c r="J57" s="21"/>
      <c r="K57" s="23"/>
    </row>
  </sheetData>
  <hyperlinks>
    <hyperlink ref="A1" r:id="rId1" tooltip="Remove Strike Filtering" display="https://finance.yahoo.com/quote/SPY/options?straddle=false" xr:uid="{4505FD1A-58C9-42B8-B8C9-0C8A17B4B8B1}"/>
    <hyperlink ref="A4" r:id="rId2" display="https://finance.yahoo.com/quote/SPY210922C00438000?p=SPY210922C00438000" xr:uid="{10A8A106-70B3-468B-85FD-9105B1CC9A90}"/>
    <hyperlink ref="C4" r:id="rId3" display="https://finance.yahoo.com/quote/SPY/options?date=1632268800&amp;straddle=false" xr:uid="{12059148-9A70-4BDA-A92A-32DCF0D2D57A}"/>
    <hyperlink ref="A5" r:id="rId4" display="https://finance.yahoo.com/quote/SPY210924C00438000?p=SPY210924C00438000" xr:uid="{6C51DBF3-D648-460B-B76E-423F9E7344D0}"/>
    <hyperlink ref="C5" r:id="rId5" display="https://finance.yahoo.com/quote/SPY/options?date=1632441600&amp;straddle=false" xr:uid="{C5E6D74A-BEA6-4789-A7E8-209D80A98618}"/>
    <hyperlink ref="A6" r:id="rId6" display="https://finance.yahoo.com/quote/SPY210927C00438000?p=SPY210927C00438000" xr:uid="{2436876A-ABD4-4A40-9AAF-150ED381997F}"/>
    <hyperlink ref="C6" r:id="rId7" display="https://finance.yahoo.com/quote/SPY/options?date=1632700800&amp;straddle=false" xr:uid="{5A6786E3-65DA-4CC8-8BC9-C77DD8191E5F}"/>
    <hyperlink ref="A7" r:id="rId8" display="https://finance.yahoo.com/quote/SPY210929C00438000?p=SPY210929C00438000" xr:uid="{302E577B-8EAE-4BDE-A14A-9BB31E0EF7A7}"/>
    <hyperlink ref="C7" r:id="rId9" display="https://finance.yahoo.com/quote/SPY/options?date=1632873600&amp;straddle=false" xr:uid="{86E3DEBA-A9DC-46A8-BDAE-5A14C748FEBD}"/>
    <hyperlink ref="A8" r:id="rId10" display="https://finance.yahoo.com/quote/SPY210930C00438000?p=SPY210930C00438000" xr:uid="{FF340FEC-2DF7-45B8-936D-89D298F55684}"/>
    <hyperlink ref="C8" r:id="rId11" display="https://finance.yahoo.com/quote/SPY/options?date=1632960000&amp;straddle=false" xr:uid="{0BF38F98-5D81-4671-9922-D8EE6C44E29C}"/>
    <hyperlink ref="A9" r:id="rId12" display="https://finance.yahoo.com/quote/SPY211001C00438000?p=SPY211001C00438000" xr:uid="{756E9F4C-2049-4B58-A821-10DED5FB44FB}"/>
    <hyperlink ref="C9" r:id="rId13" display="https://finance.yahoo.com/quote/SPY/options?date=1633046400&amp;straddle=false" xr:uid="{B28A5AC0-784E-412A-BDA4-D9E8210BE8AA}"/>
    <hyperlink ref="A10" r:id="rId14" display="https://finance.yahoo.com/quote/SPY211004C00438000?p=SPY211004C00438000" xr:uid="{72D1DDC6-8BB6-45A2-ABFA-864CF6CBBA28}"/>
    <hyperlink ref="C10" r:id="rId15" display="https://finance.yahoo.com/quote/SPY/options?date=1633305600&amp;straddle=false" xr:uid="{307829E2-07C9-418C-BBE9-3B2C59D992A3}"/>
    <hyperlink ref="A11" r:id="rId16" display="https://finance.yahoo.com/quote/SPY211006C00438000?p=SPY211006C00438000" xr:uid="{B19892CE-F121-47E4-8267-CEA7CC525596}"/>
    <hyperlink ref="C11" r:id="rId17" display="https://finance.yahoo.com/quote/SPY/options?date=1633478400&amp;straddle=false" xr:uid="{D45D02A9-0F27-494A-83ED-2120EA363088}"/>
    <hyperlink ref="A12" r:id="rId18" display="https://finance.yahoo.com/quote/SPY211008C00438000?p=SPY211008C00438000" xr:uid="{6C22B2BC-9393-42CE-A46F-23E6BCC4E7FE}"/>
    <hyperlink ref="C12" r:id="rId19" display="https://finance.yahoo.com/quote/SPY/options?date=1633651200&amp;straddle=false" xr:uid="{BF0B7A0A-A9F8-4C06-A8B6-4C780089C29F}"/>
    <hyperlink ref="A13" r:id="rId20" display="https://finance.yahoo.com/quote/SPY211011C00438000?p=SPY211011C00438000" xr:uid="{A3F3EB8C-D7F8-40C9-80E0-D649D1939CD7}"/>
    <hyperlink ref="C13" r:id="rId21" display="https://finance.yahoo.com/quote/SPY/options?date=1633910400&amp;straddle=false" xr:uid="{6C59693B-C851-489B-AEAD-9F69B0F1C504}"/>
    <hyperlink ref="A14" r:id="rId22" display="https://finance.yahoo.com/quote/SPY211013C00438000?p=SPY211013C00438000" xr:uid="{67561EE8-41F5-4BB8-9826-EB44D5705290}"/>
    <hyperlink ref="C14" r:id="rId23" display="https://finance.yahoo.com/quote/SPY/options?date=1634083200&amp;straddle=false" xr:uid="{DFFF6095-7333-4587-BA28-4F7F8931BF68}"/>
    <hyperlink ref="A15" r:id="rId24" display="https://finance.yahoo.com/quote/SPY211015C00438000?p=SPY211015C00438000" xr:uid="{47086D0E-3D6A-4A01-B061-B0CE0597181B}"/>
    <hyperlink ref="C15" r:id="rId25" display="https://finance.yahoo.com/quote/SPY/options?date=1634256000&amp;straddle=false" xr:uid="{D37D7B5E-8760-4519-BD9E-C54B9A865C01}"/>
    <hyperlink ref="A16" r:id="rId26" display="https://finance.yahoo.com/quote/SPY211018C00438000?p=SPY211018C00438000" xr:uid="{8DBD7E1F-803F-4018-964E-A4DE8A912E96}"/>
    <hyperlink ref="C16" r:id="rId27" display="https://finance.yahoo.com/quote/SPY/options?date=1634515200&amp;straddle=false" xr:uid="{1856ADD7-CD37-4F40-B3E0-E98FA152BCCF}"/>
    <hyperlink ref="A17" r:id="rId28" display="https://finance.yahoo.com/quote/SPY211022C00438000?p=SPY211022C00438000" xr:uid="{11471841-4615-4ACD-8D4D-7316FF914126}"/>
    <hyperlink ref="C17" r:id="rId29" display="https://finance.yahoo.com/quote/SPY/options?date=1634860800&amp;straddle=false" xr:uid="{F63A49A9-D56F-41A4-97DC-B120792A8C4C}"/>
    <hyperlink ref="A18" r:id="rId30" display="https://finance.yahoo.com/quote/SPY211029C00438000?p=SPY211029C00438000" xr:uid="{84D50D99-3BDF-4C17-8854-4D34D1F8ABFA}"/>
    <hyperlink ref="C18" r:id="rId31" display="https://finance.yahoo.com/quote/SPY/options?date=1635465600&amp;straddle=false" xr:uid="{76D47ECF-D922-435F-ADB5-620869D16BC7}"/>
    <hyperlink ref="A19" r:id="rId32" display="https://finance.yahoo.com/quote/SPY211119C00438000?p=SPY211119C00438000" xr:uid="{25933B76-951D-425B-BDB7-DB53BCA45A19}"/>
    <hyperlink ref="C19" r:id="rId33" display="https://finance.yahoo.com/quote/SPY/options?date=1637280000&amp;straddle=false" xr:uid="{A8F9BBD9-DF3C-49ED-BE98-6F6419349751}"/>
    <hyperlink ref="A20" r:id="rId34" display="https://finance.yahoo.com/quote/SPY211217C00438000?p=SPY211217C00438000" xr:uid="{FA839FFC-5BE0-4E3D-A925-BD9E5E5DF9DC}"/>
    <hyperlink ref="C20" r:id="rId35" display="https://finance.yahoo.com/quote/SPY/options?date=1639699200&amp;straddle=false" xr:uid="{67F08067-CAE3-4524-87CA-89FF142B8125}"/>
    <hyperlink ref="A21" r:id="rId36" display="https://finance.yahoo.com/quote/SPY211231C00438000?p=SPY211231C00438000" xr:uid="{E906C520-230A-4145-A718-EA8BFA7A7C14}"/>
    <hyperlink ref="C21" r:id="rId37" display="https://finance.yahoo.com/quote/SPY/options?date=1640908800&amp;straddle=false" xr:uid="{998C9147-F82F-4241-914C-B15C4B14DE5F}"/>
    <hyperlink ref="A22" r:id="rId38" display="https://finance.yahoo.com/quote/SPY220121C00438000?p=SPY220121C00438000" xr:uid="{A2AD88E7-654B-47F9-8FAA-22A42CFA288E}"/>
    <hyperlink ref="C22" r:id="rId39" display="https://finance.yahoo.com/quote/SPY/options?date=1642723200&amp;straddle=false" xr:uid="{EC12C303-7C08-4080-9926-ED1C2F24D444}"/>
    <hyperlink ref="A23" r:id="rId40" display="https://finance.yahoo.com/quote/SPY220218C00438000?p=SPY220218C00438000" xr:uid="{0904C7D2-09F3-424F-8C75-2E31561F2FDD}"/>
    <hyperlink ref="C23" r:id="rId41" display="https://finance.yahoo.com/quote/SPY/options?date=1645142400&amp;straddle=false" xr:uid="{6AE9CC10-FB87-4CCE-AA2D-41A70AB88C6F}"/>
    <hyperlink ref="A24" r:id="rId42" display="https://finance.yahoo.com/quote/SPY220318C00438000?p=SPY220318C00438000" xr:uid="{63E9CEC6-F417-45AB-B2BD-03A6FEDD4EF6}"/>
    <hyperlink ref="C24" r:id="rId43" display="https://finance.yahoo.com/quote/SPY/options?date=1647561600&amp;straddle=false" xr:uid="{3B203F96-D3D9-4161-87CF-EA2F19515EE0}"/>
    <hyperlink ref="A25" r:id="rId44" display="https://finance.yahoo.com/quote/SPY220331C00438000?p=SPY220331C00438000" xr:uid="{37B89620-1348-449C-B55E-0D1B7C7AC6EF}"/>
    <hyperlink ref="C25" r:id="rId45" display="https://finance.yahoo.com/quote/SPY/options?date=1648684800&amp;straddle=false" xr:uid="{FE228E21-0819-4964-8203-1D8DF17C5961}"/>
    <hyperlink ref="A26" r:id="rId46" display="https://finance.yahoo.com/quote/SPY220617C00438000?p=SPY220617C00438000" xr:uid="{B574C696-9EB8-4F3C-8A17-D1C159EDEE2A}"/>
    <hyperlink ref="C26" r:id="rId47" display="https://finance.yahoo.com/quote/SPY/options?date=1655424000&amp;straddle=false" xr:uid="{6ACAAB01-E3A8-4B69-9440-A361DE3CA19A}"/>
    <hyperlink ref="A27" r:id="rId48" display="https://finance.yahoo.com/quote/SPY220630C00438000?p=SPY220630C00438000" xr:uid="{853B18FC-FF6A-42A0-9BAC-42C02E8FCAC6}"/>
    <hyperlink ref="C27" r:id="rId49" display="https://finance.yahoo.com/quote/SPY/options?date=1656547200&amp;straddle=false" xr:uid="{83A57242-D3C7-4594-8BB6-F4AA92015FFF}"/>
    <hyperlink ref="A28" r:id="rId50" display="https://finance.yahoo.com/quote/SPY220916C00438000?p=SPY220916C00438000" xr:uid="{590AF393-C4E6-4A7C-B1FC-CED2048D20BA}"/>
    <hyperlink ref="C28" r:id="rId51" display="https://finance.yahoo.com/quote/SPY/options?date=1663286400&amp;straddle=false" xr:uid="{FD51068B-5D62-4CE7-824F-CC754FD72B9E}"/>
    <hyperlink ref="A31" r:id="rId52" display="https://finance.yahoo.com/quote/SPY210922P00438000?p=SPY210922P00438000" xr:uid="{F6D06ABF-640A-4A28-BAD8-D343AFD27852}"/>
    <hyperlink ref="C31" r:id="rId53" display="https://finance.yahoo.com/quote/SPY/options?date=1632268800&amp;straddle=false" xr:uid="{753A65C6-759D-4BCC-86A4-5C380F51E6EE}"/>
    <hyperlink ref="A32" r:id="rId54" display="https://finance.yahoo.com/quote/SPY210924P00438000?p=SPY210924P00438000" xr:uid="{23AB566C-FD99-4BB5-97F2-270BDD5482E5}"/>
    <hyperlink ref="C32" r:id="rId55" display="https://finance.yahoo.com/quote/SPY/options?date=1632441600&amp;straddle=false" xr:uid="{F3D594DF-2F99-4ED3-AC40-93D4D049C91E}"/>
    <hyperlink ref="A33" r:id="rId56" display="https://finance.yahoo.com/quote/SPY210927P00438000?p=SPY210927P00438000" xr:uid="{1EE1B7E6-B967-475A-9BA1-C1FF1133F5DB}"/>
    <hyperlink ref="C33" r:id="rId57" display="https://finance.yahoo.com/quote/SPY/options?date=1632700800&amp;straddle=false" xr:uid="{4BB44D1D-9F7A-4CFA-BDF5-3E149F3FAE5A}"/>
    <hyperlink ref="A34" r:id="rId58" display="https://finance.yahoo.com/quote/SPY210929P00438000?p=SPY210929P00438000" xr:uid="{358C2B3C-D93D-45CF-9717-EDAD0FF8F928}"/>
    <hyperlink ref="C34" r:id="rId59" display="https://finance.yahoo.com/quote/SPY/options?date=1632873600&amp;straddle=false" xr:uid="{14B3416E-F6A4-4B79-AC68-0F16D69A088F}"/>
    <hyperlink ref="A35" r:id="rId60" display="https://finance.yahoo.com/quote/SPY210930P00438000?p=SPY210930P00438000" xr:uid="{A540C00A-8844-4620-87C5-09517AFD0804}"/>
    <hyperlink ref="C35" r:id="rId61" display="https://finance.yahoo.com/quote/SPY/options?date=1632960000&amp;straddle=false" xr:uid="{E3C6B18A-7B0D-4161-BC15-02D92D1025C2}"/>
    <hyperlink ref="A36" r:id="rId62" display="https://finance.yahoo.com/quote/SPY211001P00438000?p=SPY211001P00438000" xr:uid="{CF4D439D-AEA1-4460-89A6-CDAB116171D7}"/>
    <hyperlink ref="C36" r:id="rId63" display="https://finance.yahoo.com/quote/SPY/options?date=1633046400&amp;straddle=false" xr:uid="{4A2648A3-17AD-49BB-8A05-8DF5F4B1F6C3}"/>
    <hyperlink ref="A37" r:id="rId64" display="https://finance.yahoo.com/quote/SPY211004P00438000?p=SPY211004P00438000" xr:uid="{7AD5A745-182E-4F6D-BBE7-B7EDA51D2F50}"/>
    <hyperlink ref="C37" r:id="rId65" display="https://finance.yahoo.com/quote/SPY/options?date=1633305600&amp;straddle=false" xr:uid="{DAB5EB1F-1081-47F3-9374-84FCF6F2F364}"/>
    <hyperlink ref="A38" r:id="rId66" display="https://finance.yahoo.com/quote/SPY211006P00438000?p=SPY211006P00438000" xr:uid="{E402FFBC-3A8A-4397-8495-50496EE57E71}"/>
    <hyperlink ref="C38" r:id="rId67" display="https://finance.yahoo.com/quote/SPY/options?date=1633478400&amp;straddle=false" xr:uid="{E47CDEE3-D7FC-4EB7-82BE-FE353AA33384}"/>
    <hyperlink ref="A39" r:id="rId68" display="https://finance.yahoo.com/quote/SPY211008P00438000?p=SPY211008P00438000" xr:uid="{5B8EDB19-98CC-4A9C-9813-1B14E2FDF45F}"/>
    <hyperlink ref="C39" r:id="rId69" display="https://finance.yahoo.com/quote/SPY/options?date=1633651200&amp;straddle=false" xr:uid="{CAE517A4-AC62-4ABB-9125-1CB25021A1C0}"/>
    <hyperlink ref="A40" r:id="rId70" display="https://finance.yahoo.com/quote/SPY211011P00438000?p=SPY211011P00438000" xr:uid="{E8EB3765-3432-4496-BB95-84460D66F22D}"/>
    <hyperlink ref="C40" r:id="rId71" display="https://finance.yahoo.com/quote/SPY/options?date=1633910400&amp;straddle=false" xr:uid="{C8D7902C-94E7-40FE-AD45-2CD67237BA9D}"/>
    <hyperlink ref="A41" r:id="rId72" display="https://finance.yahoo.com/quote/SPY211013P00438000?p=SPY211013P00438000" xr:uid="{82F54878-3313-4D6D-9A60-529903BCF656}"/>
    <hyperlink ref="C41" r:id="rId73" display="https://finance.yahoo.com/quote/SPY/options?date=1634083200&amp;straddle=false" xr:uid="{EB31654F-B6D7-49A9-81B5-4F4276FD08DE}"/>
    <hyperlink ref="A42" r:id="rId74" display="https://finance.yahoo.com/quote/SPY211015P00438000?p=SPY211015P00438000" xr:uid="{C0B2ED85-0B17-4FE1-85F0-6CA3B6945E7F}"/>
    <hyperlink ref="C42" r:id="rId75" display="https://finance.yahoo.com/quote/SPY/options?date=1634256000&amp;straddle=false" xr:uid="{A4E4526A-42E6-47F2-B66E-EB7941240E9A}"/>
    <hyperlink ref="A43" r:id="rId76" display="https://finance.yahoo.com/quote/SPY211018P00438000?p=SPY211018P00438000" xr:uid="{429E8E1C-55DD-4065-9D70-814EA916B51A}"/>
    <hyperlink ref="C43" r:id="rId77" display="https://finance.yahoo.com/quote/SPY/options?date=1634515200&amp;straddle=false" xr:uid="{9096823F-284D-4CA6-8C97-0C1B138DC389}"/>
    <hyperlink ref="A44" r:id="rId78" display="https://finance.yahoo.com/quote/SPY211020P00438000?p=SPY211020P00438000" xr:uid="{D46ECE7C-9E92-423E-BC1D-52070CA783D1}"/>
    <hyperlink ref="C44" r:id="rId79" display="https://finance.yahoo.com/quote/SPY/options?date=1634688000&amp;straddle=false" xr:uid="{CE220D7C-542E-4B3A-9480-67389B2CCA64}"/>
    <hyperlink ref="A45" r:id="rId80" display="https://finance.yahoo.com/quote/SPY211022P00438000?p=SPY211022P00438000" xr:uid="{EECF6616-503E-450A-8C04-A63DB510A914}"/>
    <hyperlink ref="C45" r:id="rId81" display="https://finance.yahoo.com/quote/SPY/options?date=1634860800&amp;straddle=false" xr:uid="{8329C922-9E6A-45AA-AD0E-6F80C5C3D679}"/>
    <hyperlink ref="A46" r:id="rId82" display="https://finance.yahoo.com/quote/SPY211029P00438000?p=SPY211029P00438000" xr:uid="{496C20A6-61B9-4BB7-8F72-F060E7D0CF16}"/>
    <hyperlink ref="C46" r:id="rId83" display="https://finance.yahoo.com/quote/SPY/options?date=1635465600&amp;straddle=false" xr:uid="{C6877633-C58F-4698-B6C9-8B574194159E}"/>
    <hyperlink ref="A47" r:id="rId84" display="https://finance.yahoo.com/quote/SPY211119P00438000?p=SPY211119P00438000" xr:uid="{64B81721-A190-4E37-9AEE-FF89863A0D52}"/>
    <hyperlink ref="C47" r:id="rId85" display="https://finance.yahoo.com/quote/SPY/options?date=1637280000&amp;straddle=false" xr:uid="{6C2F4DDD-7136-4437-A09A-06E4FADA0712}"/>
    <hyperlink ref="A48" r:id="rId86" display="https://finance.yahoo.com/quote/SPY211217P00438000?p=SPY211217P00438000" xr:uid="{91511B32-4EE6-4E91-99B7-BE8EA4970008}"/>
    <hyperlink ref="C48" r:id="rId87" display="https://finance.yahoo.com/quote/SPY/options?date=1639699200&amp;straddle=false" xr:uid="{69339F0C-1C56-42F1-8421-31F7B69A4339}"/>
    <hyperlink ref="A49" r:id="rId88" display="https://finance.yahoo.com/quote/SPY211231P00438000?p=SPY211231P00438000" xr:uid="{330085AE-58DA-49A0-B021-0F5DCDEB4DD5}"/>
    <hyperlink ref="C49" r:id="rId89" display="https://finance.yahoo.com/quote/SPY/options?date=1640908800&amp;straddle=false" xr:uid="{A9320BF4-F6E2-4D71-8DEC-F3F06EC30173}"/>
    <hyperlink ref="A50" r:id="rId90" display="https://finance.yahoo.com/quote/SPY220121P00438000?p=SPY220121P00438000" xr:uid="{30B64C21-6242-45ED-B273-34FB3F4EF540}"/>
    <hyperlink ref="C50" r:id="rId91" display="https://finance.yahoo.com/quote/SPY/options?date=1642723200&amp;straddle=false" xr:uid="{EFD14828-097A-4D09-8D7D-2D3F2888ED33}"/>
    <hyperlink ref="A51" r:id="rId92" display="https://finance.yahoo.com/quote/SPY220218P00438000?p=SPY220218P00438000" xr:uid="{CCE7801E-31C9-4DC1-96F6-7EE3797A30AB}"/>
    <hyperlink ref="C51" r:id="rId93" display="https://finance.yahoo.com/quote/SPY/options?date=1645142400&amp;straddle=false" xr:uid="{4652DC63-81FC-48BF-803E-25DA7A433EE2}"/>
    <hyperlink ref="A52" r:id="rId94" display="https://finance.yahoo.com/quote/SPY220318P00438000?p=SPY220318P00438000" xr:uid="{5C8BD84D-4C93-46CB-974F-F6F2E19E2CE3}"/>
    <hyperlink ref="C52" r:id="rId95" display="https://finance.yahoo.com/quote/SPY/options?date=1647561600&amp;straddle=false" xr:uid="{0DBC8221-112D-407A-A5E4-91B865FBD6A7}"/>
    <hyperlink ref="A53" r:id="rId96" display="https://finance.yahoo.com/quote/SPY220331P00438000?p=SPY220331P00438000" xr:uid="{FEFE230A-C541-4BA0-B47F-1471A7CEC9A5}"/>
    <hyperlink ref="C53" r:id="rId97" display="https://finance.yahoo.com/quote/SPY/options?date=1648684800&amp;straddle=false" xr:uid="{53A2CF24-F336-4198-8F04-0E3D948E58AB}"/>
    <hyperlink ref="A54" r:id="rId98" display="https://finance.yahoo.com/quote/SPY220617P00438000?p=SPY220617P00438000" xr:uid="{3CA27D89-422A-4F78-86BE-5A0DDC90DE05}"/>
    <hyperlink ref="C54" r:id="rId99" display="https://finance.yahoo.com/quote/SPY/options?date=1655424000&amp;straddle=false" xr:uid="{23488468-5BA1-41A8-BFFA-2B63B62B8633}"/>
    <hyperlink ref="A55" r:id="rId100" display="https://finance.yahoo.com/quote/SPY220630P00438000?p=SPY220630P00438000" xr:uid="{0456D141-51F2-4FC7-A8F9-4771DEA8148F}"/>
    <hyperlink ref="C55" r:id="rId101" display="https://finance.yahoo.com/quote/SPY/options?date=1656547200&amp;straddle=false" xr:uid="{67320D45-09BE-45FD-A5A0-34449E4447F7}"/>
    <hyperlink ref="A56" r:id="rId102" display="https://finance.yahoo.com/quote/SPY220916P00438000?p=SPY220916P00438000" xr:uid="{5694AF97-D60B-4B39-A427-88F73BA30EB6}"/>
    <hyperlink ref="C56" r:id="rId103" display="https://finance.yahoo.com/quote/SPY/options?date=1663286400&amp;straddle=false" xr:uid="{8D08BF48-E759-45B7-9E87-3D442B3C37D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9D7A-4495-40CC-97EE-882A8001160E}">
  <dimension ref="A1:K57"/>
  <sheetViews>
    <sheetView tabSelected="1" topLeftCell="C1" workbookViewId="0">
      <pane ySplit="3" topLeftCell="A4" activePane="bottomLeft" state="frozen"/>
      <selection activeCell="C1" sqref="C1"/>
      <selection pane="bottomLeft" activeCell="O26" sqref="O26"/>
    </sheetView>
  </sheetViews>
  <sheetFormatPr defaultColWidth="9.1796875" defaultRowHeight="14.5" x14ac:dyDescent="0.35"/>
  <cols>
    <col min="1" max="1" width="32.7265625" style="1" customWidth="1"/>
    <col min="2" max="2" width="27.26953125" style="1" customWidth="1"/>
    <col min="3" max="11" width="15.453125" style="1" customWidth="1"/>
  </cols>
  <sheetData>
    <row r="1" spans="1:11" ht="18.5" x14ac:dyDescent="0.35">
      <c r="A1" s="66" t="s">
        <v>638</v>
      </c>
      <c r="B1"/>
      <c r="C1"/>
      <c r="D1"/>
      <c r="E1"/>
      <c r="F1"/>
      <c r="G1"/>
      <c r="H1"/>
      <c r="I1"/>
      <c r="J1"/>
      <c r="K1"/>
    </row>
    <row r="2" spans="1:11" ht="16" thickBot="1" x14ac:dyDescent="0.4">
      <c r="A2" s="67" t="s">
        <v>359</v>
      </c>
      <c r="B2" s="67"/>
      <c r="C2" s="67"/>
      <c r="D2" s="67"/>
      <c r="E2" s="67"/>
      <c r="F2" s="67"/>
      <c r="G2" s="67"/>
      <c r="H2" s="67"/>
      <c r="I2" s="67"/>
      <c r="J2" s="67"/>
      <c r="K2" s="67"/>
    </row>
    <row r="3" spans="1:11" ht="15" thickBot="1" x14ac:dyDescent="0.4">
      <c r="A3" s="147" t="s">
        <v>0</v>
      </c>
      <c r="B3" s="140" t="s">
        <v>1</v>
      </c>
      <c r="C3" s="140" t="s">
        <v>22</v>
      </c>
      <c r="D3" s="140" t="s">
        <v>3</v>
      </c>
      <c r="E3" s="140" t="s">
        <v>4</v>
      </c>
      <c r="F3" s="140" t="s">
        <v>5</v>
      </c>
      <c r="G3" s="140" t="s">
        <v>6</v>
      </c>
      <c r="H3" s="140" t="s">
        <v>7</v>
      </c>
      <c r="I3" s="140" t="s">
        <v>8</v>
      </c>
      <c r="J3" s="140" t="s">
        <v>9</v>
      </c>
      <c r="K3" s="149" t="s">
        <v>10</v>
      </c>
    </row>
    <row r="4" spans="1:11" ht="15" thickBot="1" x14ac:dyDescent="0.4">
      <c r="A4" s="114" t="s">
        <v>639</v>
      </c>
      <c r="B4" s="82" t="s">
        <v>224</v>
      </c>
      <c r="C4" s="103">
        <v>44461</v>
      </c>
      <c r="D4" s="88">
        <v>0.1</v>
      </c>
      <c r="E4" s="88">
        <v>0.09</v>
      </c>
      <c r="F4" s="88">
        <v>0.1</v>
      </c>
      <c r="G4" s="91">
        <v>-0.37</v>
      </c>
      <c r="H4" s="97">
        <v>-0.78720000000000001</v>
      </c>
      <c r="I4" s="83">
        <v>53239</v>
      </c>
      <c r="J4" s="83">
        <v>7393</v>
      </c>
      <c r="K4" s="119">
        <v>0.21970000000000001</v>
      </c>
    </row>
    <row r="5" spans="1:11" ht="15" thickBot="1" x14ac:dyDescent="0.4">
      <c r="A5" s="115" t="s">
        <v>640</v>
      </c>
      <c r="B5" s="84" t="s">
        <v>224</v>
      </c>
      <c r="C5" s="104">
        <v>44463</v>
      </c>
      <c r="D5" s="89">
        <v>0.5</v>
      </c>
      <c r="E5" s="89">
        <v>0.49</v>
      </c>
      <c r="F5" s="89">
        <v>0.5</v>
      </c>
      <c r="G5" s="92">
        <v>-0.5</v>
      </c>
      <c r="H5" s="98">
        <v>-0.5</v>
      </c>
      <c r="I5" s="85">
        <v>54344</v>
      </c>
      <c r="J5" s="85">
        <v>9122</v>
      </c>
      <c r="K5" s="120">
        <v>0.18920000000000001</v>
      </c>
    </row>
    <row r="6" spans="1:11" ht="15" thickBot="1" x14ac:dyDescent="0.4">
      <c r="A6" s="116" t="s">
        <v>641</v>
      </c>
      <c r="B6" s="86" t="s">
        <v>74</v>
      </c>
      <c r="C6" s="105">
        <v>44466</v>
      </c>
      <c r="D6" s="90">
        <v>0.74</v>
      </c>
      <c r="E6" s="90">
        <v>0.73</v>
      </c>
      <c r="F6" s="90">
        <v>0.75</v>
      </c>
      <c r="G6" s="93">
        <v>-0.61</v>
      </c>
      <c r="H6" s="99">
        <v>-0.45190000000000002</v>
      </c>
      <c r="I6" s="87">
        <v>2692</v>
      </c>
      <c r="J6" s="87">
        <v>1407</v>
      </c>
      <c r="K6" s="121">
        <v>0.153</v>
      </c>
    </row>
    <row r="7" spans="1:11" ht="15" thickBot="1" x14ac:dyDescent="0.4">
      <c r="A7" s="115" t="s">
        <v>642</v>
      </c>
      <c r="B7" s="84" t="s">
        <v>110</v>
      </c>
      <c r="C7" s="104">
        <v>44468</v>
      </c>
      <c r="D7" s="89">
        <v>1.1599999999999999</v>
      </c>
      <c r="E7" s="89">
        <v>1.1299999999999999</v>
      </c>
      <c r="F7" s="89">
        <v>1.1599999999999999</v>
      </c>
      <c r="G7" s="92">
        <v>-0.68</v>
      </c>
      <c r="H7" s="98">
        <v>-0.36959999999999998</v>
      </c>
      <c r="I7" s="85">
        <v>1691</v>
      </c>
      <c r="J7" s="85">
        <v>1128</v>
      </c>
      <c r="K7" s="120">
        <v>0.15609999999999999</v>
      </c>
    </row>
    <row r="8" spans="1:11" ht="15" thickBot="1" x14ac:dyDescent="0.4">
      <c r="A8" s="116" t="s">
        <v>643</v>
      </c>
      <c r="B8" s="86" t="s">
        <v>84</v>
      </c>
      <c r="C8" s="105">
        <v>44469</v>
      </c>
      <c r="D8" s="90">
        <v>1.36</v>
      </c>
      <c r="E8" s="90">
        <v>1.38</v>
      </c>
      <c r="F8" s="90">
        <v>1.4</v>
      </c>
      <c r="G8" s="93">
        <v>-0.64</v>
      </c>
      <c r="H8" s="99">
        <v>-0.32</v>
      </c>
      <c r="I8" s="87">
        <v>2322</v>
      </c>
      <c r="J8" s="87">
        <v>12345</v>
      </c>
      <c r="K8" s="121">
        <v>0.15920000000000001</v>
      </c>
    </row>
    <row r="9" spans="1:11" ht="15" thickBot="1" x14ac:dyDescent="0.4">
      <c r="A9" s="115" t="s">
        <v>644</v>
      </c>
      <c r="B9" s="84" t="s">
        <v>84</v>
      </c>
      <c r="C9" s="104">
        <v>44470</v>
      </c>
      <c r="D9" s="89">
        <v>1.62</v>
      </c>
      <c r="E9" s="89">
        <v>1.65</v>
      </c>
      <c r="F9" s="89">
        <v>1.67</v>
      </c>
      <c r="G9" s="92">
        <v>-0.7</v>
      </c>
      <c r="H9" s="98">
        <v>-0.30170000000000002</v>
      </c>
      <c r="I9" s="85">
        <v>4141</v>
      </c>
      <c r="J9" s="85">
        <v>3518</v>
      </c>
      <c r="K9" s="120">
        <v>0.1633</v>
      </c>
    </row>
    <row r="10" spans="1:11" ht="15" thickBot="1" x14ac:dyDescent="0.4">
      <c r="A10" s="116" t="s">
        <v>645</v>
      </c>
      <c r="B10" s="86" t="s">
        <v>78</v>
      </c>
      <c r="C10" s="105">
        <v>44473</v>
      </c>
      <c r="D10" s="90">
        <v>2.15</v>
      </c>
      <c r="E10" s="90">
        <v>1.92</v>
      </c>
      <c r="F10" s="90">
        <v>1.95</v>
      </c>
      <c r="G10" s="93">
        <v>-0.54</v>
      </c>
      <c r="H10" s="99">
        <v>-0.20069999999999999</v>
      </c>
      <c r="I10" s="87">
        <v>206</v>
      </c>
      <c r="J10" s="87">
        <v>453</v>
      </c>
      <c r="K10" s="121">
        <v>0.15390000000000001</v>
      </c>
    </row>
    <row r="11" spans="1:11" ht="15" thickBot="1" x14ac:dyDescent="0.4">
      <c r="A11" s="115" t="s">
        <v>646</v>
      </c>
      <c r="B11" s="84" t="s">
        <v>74</v>
      </c>
      <c r="C11" s="104">
        <v>44475</v>
      </c>
      <c r="D11" s="89">
        <v>2.4</v>
      </c>
      <c r="E11" s="89">
        <v>2.35</v>
      </c>
      <c r="F11" s="89">
        <v>2.38</v>
      </c>
      <c r="G11" s="92">
        <v>-0.53</v>
      </c>
      <c r="H11" s="98">
        <v>-0.18090000000000001</v>
      </c>
      <c r="I11" s="85">
        <v>377</v>
      </c>
      <c r="J11" s="85">
        <v>509</v>
      </c>
      <c r="K11" s="120">
        <v>0.15809999999999999</v>
      </c>
    </row>
    <row r="12" spans="1:11" ht="15" thickBot="1" x14ac:dyDescent="0.4">
      <c r="A12" s="116" t="s">
        <v>647</v>
      </c>
      <c r="B12" s="86" t="s">
        <v>460</v>
      </c>
      <c r="C12" s="105">
        <v>44477</v>
      </c>
      <c r="D12" s="90">
        <v>3.5</v>
      </c>
      <c r="E12" s="90">
        <v>2.78</v>
      </c>
      <c r="F12" s="90">
        <v>2.81</v>
      </c>
      <c r="G12" s="93">
        <v>-7.0000000000000007E-2</v>
      </c>
      <c r="H12" s="99">
        <v>-1.9599999999999999E-2</v>
      </c>
      <c r="I12" s="87">
        <v>495</v>
      </c>
      <c r="J12" s="87">
        <v>782</v>
      </c>
      <c r="K12" s="121">
        <v>0.16189999999999999</v>
      </c>
    </row>
    <row r="13" spans="1:11" ht="15" thickBot="1" x14ac:dyDescent="0.4">
      <c r="A13" s="115" t="s">
        <v>648</v>
      </c>
      <c r="B13" s="84" t="s">
        <v>224</v>
      </c>
      <c r="C13" s="104">
        <v>44480</v>
      </c>
      <c r="D13" s="89">
        <v>3.06</v>
      </c>
      <c r="E13" s="89">
        <v>3.01</v>
      </c>
      <c r="F13" s="89">
        <v>3.05</v>
      </c>
      <c r="G13" s="92">
        <v>-0.7</v>
      </c>
      <c r="H13" s="98">
        <v>-0.1862</v>
      </c>
      <c r="I13" s="85">
        <v>95</v>
      </c>
      <c r="J13" s="85">
        <v>249</v>
      </c>
      <c r="K13" s="120">
        <v>0.15609999999999999</v>
      </c>
    </row>
    <row r="14" spans="1:11" ht="15" thickBot="1" x14ac:dyDescent="0.4">
      <c r="A14" s="116" t="s">
        <v>649</v>
      </c>
      <c r="B14" s="86" t="s">
        <v>650</v>
      </c>
      <c r="C14" s="105">
        <v>44482</v>
      </c>
      <c r="D14" s="90">
        <v>3.86</v>
      </c>
      <c r="E14" s="90">
        <v>3.38</v>
      </c>
      <c r="F14" s="90">
        <v>3.42</v>
      </c>
      <c r="G14" s="93">
        <v>-0.34</v>
      </c>
      <c r="H14" s="99">
        <v>-8.1000000000000003E-2</v>
      </c>
      <c r="I14" s="87">
        <v>126</v>
      </c>
      <c r="J14" s="87">
        <v>141</v>
      </c>
      <c r="K14" s="121">
        <v>0.15859999999999999</v>
      </c>
    </row>
    <row r="15" spans="1:11" ht="15" thickBot="1" x14ac:dyDescent="0.4">
      <c r="A15" s="115" t="s">
        <v>651</v>
      </c>
      <c r="B15" s="84" t="s">
        <v>224</v>
      </c>
      <c r="C15" s="104">
        <v>44484</v>
      </c>
      <c r="D15" s="89">
        <v>3.77</v>
      </c>
      <c r="E15" s="89">
        <v>3.75</v>
      </c>
      <c r="F15" s="89">
        <v>3.77</v>
      </c>
      <c r="G15" s="92">
        <v>-0.68</v>
      </c>
      <c r="H15" s="98">
        <v>-0.15279999999999999</v>
      </c>
      <c r="I15" s="85">
        <v>4299</v>
      </c>
      <c r="J15" s="85">
        <v>18077</v>
      </c>
      <c r="K15" s="120">
        <v>0.16059999999999999</v>
      </c>
    </row>
    <row r="16" spans="1:11" ht="15" thickBot="1" x14ac:dyDescent="0.4">
      <c r="A16" s="116" t="s">
        <v>652</v>
      </c>
      <c r="B16" s="86" t="s">
        <v>87</v>
      </c>
      <c r="C16" s="105">
        <v>44487</v>
      </c>
      <c r="D16" s="90">
        <v>4</v>
      </c>
      <c r="E16" s="90">
        <v>3.96</v>
      </c>
      <c r="F16" s="90">
        <v>4.03</v>
      </c>
      <c r="G16" s="93">
        <v>-0.83</v>
      </c>
      <c r="H16" s="99">
        <v>-0.17180000000000001</v>
      </c>
      <c r="I16" s="87">
        <v>53</v>
      </c>
      <c r="J16" s="87">
        <v>314</v>
      </c>
      <c r="K16" s="121">
        <v>0.1575</v>
      </c>
    </row>
    <row r="17" spans="1:11" ht="15" thickBot="1" x14ac:dyDescent="0.4">
      <c r="A17" s="115" t="s">
        <v>653</v>
      </c>
      <c r="B17" s="84" t="s">
        <v>369</v>
      </c>
      <c r="C17" s="104">
        <v>44489</v>
      </c>
      <c r="D17" s="89">
        <v>4.82</v>
      </c>
      <c r="E17" s="89">
        <v>4.33</v>
      </c>
      <c r="F17" s="89">
        <v>4.38</v>
      </c>
      <c r="G17" s="92">
        <v>-0.36</v>
      </c>
      <c r="H17" s="98">
        <v>-6.9500000000000006E-2</v>
      </c>
      <c r="I17" s="85">
        <v>99</v>
      </c>
      <c r="J17" s="85">
        <v>151</v>
      </c>
      <c r="K17" s="120">
        <v>0.1598</v>
      </c>
    </row>
    <row r="18" spans="1:11" ht="15" thickBot="1" x14ac:dyDescent="0.4">
      <c r="A18" s="116" t="s">
        <v>654</v>
      </c>
      <c r="B18" s="86" t="s">
        <v>76</v>
      </c>
      <c r="C18" s="105">
        <v>44491</v>
      </c>
      <c r="D18" s="90">
        <v>4.8099999999999996</v>
      </c>
      <c r="E18" s="90">
        <v>4.6900000000000004</v>
      </c>
      <c r="F18" s="90">
        <v>4.72</v>
      </c>
      <c r="G18" s="93">
        <v>-0.74</v>
      </c>
      <c r="H18" s="99">
        <v>-0.1333</v>
      </c>
      <c r="I18" s="87">
        <v>367</v>
      </c>
      <c r="J18" s="87">
        <v>592</v>
      </c>
      <c r="K18" s="121">
        <v>0.1618</v>
      </c>
    </row>
    <row r="19" spans="1:11" ht="15" thickBot="1" x14ac:dyDescent="0.4">
      <c r="A19" s="115" t="s">
        <v>95</v>
      </c>
      <c r="B19" s="84" t="s">
        <v>96</v>
      </c>
      <c r="C19" s="104">
        <v>44498</v>
      </c>
      <c r="D19" s="89">
        <v>5.89</v>
      </c>
      <c r="E19" s="89">
        <v>5.64</v>
      </c>
      <c r="F19" s="89">
        <v>5.68</v>
      </c>
      <c r="G19" s="92">
        <v>-0.26</v>
      </c>
      <c r="H19" s="98">
        <v>-4.2299999999999997E-2</v>
      </c>
      <c r="I19" s="85">
        <v>83</v>
      </c>
      <c r="J19" s="85">
        <v>667</v>
      </c>
      <c r="K19" s="120">
        <v>0.16450000000000001</v>
      </c>
    </row>
    <row r="20" spans="1:11" ht="15" thickBot="1" x14ac:dyDescent="0.4">
      <c r="A20" s="116" t="s">
        <v>655</v>
      </c>
      <c r="B20" s="86" t="s">
        <v>76</v>
      </c>
      <c r="C20" s="105">
        <v>44519</v>
      </c>
      <c r="D20" s="90">
        <v>8.49</v>
      </c>
      <c r="E20" s="90">
        <v>8.23</v>
      </c>
      <c r="F20" s="90">
        <v>8.26</v>
      </c>
      <c r="G20" s="93">
        <v>-0.47</v>
      </c>
      <c r="H20" s="99">
        <v>-5.2499999999999998E-2</v>
      </c>
      <c r="I20" s="87">
        <v>254</v>
      </c>
      <c r="J20" s="87">
        <v>6209</v>
      </c>
      <c r="K20" s="121">
        <v>0.1706</v>
      </c>
    </row>
    <row r="21" spans="1:11" ht="15" thickBot="1" x14ac:dyDescent="0.4">
      <c r="A21" s="115" t="s">
        <v>656</v>
      </c>
      <c r="B21" s="84" t="s">
        <v>657</v>
      </c>
      <c r="C21" s="104">
        <v>44547</v>
      </c>
      <c r="D21" s="89">
        <v>11.53</v>
      </c>
      <c r="E21" s="89">
        <v>10.81</v>
      </c>
      <c r="F21" s="89">
        <v>10.85</v>
      </c>
      <c r="G21" s="92">
        <v>-0.02</v>
      </c>
      <c r="H21" s="98">
        <v>-1.6999999999999999E-3</v>
      </c>
      <c r="I21" s="85">
        <v>498</v>
      </c>
      <c r="J21" s="85">
        <v>2639</v>
      </c>
      <c r="K21" s="120">
        <v>0.1719</v>
      </c>
    </row>
    <row r="22" spans="1:11" ht="15" thickBot="1" x14ac:dyDescent="0.4">
      <c r="A22" s="116" t="s">
        <v>658</v>
      </c>
      <c r="B22" s="86" t="s">
        <v>659</v>
      </c>
      <c r="C22" s="105">
        <v>44561</v>
      </c>
      <c r="D22" s="90">
        <v>13.24</v>
      </c>
      <c r="E22" s="90">
        <v>11.83</v>
      </c>
      <c r="F22" s="90">
        <v>11.9</v>
      </c>
      <c r="G22" s="94">
        <v>1.58</v>
      </c>
      <c r="H22" s="100">
        <v>0.13550000000000001</v>
      </c>
      <c r="I22" s="87">
        <v>12</v>
      </c>
      <c r="J22" s="87">
        <v>624</v>
      </c>
      <c r="K22" s="121">
        <v>0.17119999999999999</v>
      </c>
    </row>
    <row r="23" spans="1:11" ht="15" thickBot="1" x14ac:dyDescent="0.4">
      <c r="A23" s="115" t="s">
        <v>660</v>
      </c>
      <c r="B23" s="84" t="s">
        <v>661</v>
      </c>
      <c r="C23" s="104">
        <v>44582</v>
      </c>
      <c r="D23" s="89">
        <v>14.73</v>
      </c>
      <c r="E23" s="89">
        <v>13.69</v>
      </c>
      <c r="F23" s="89">
        <v>13.76</v>
      </c>
      <c r="G23" s="95">
        <v>0.39</v>
      </c>
      <c r="H23" s="101">
        <v>2.7199999999999998E-2</v>
      </c>
      <c r="I23" s="85">
        <v>71</v>
      </c>
      <c r="J23" s="85">
        <v>1893</v>
      </c>
      <c r="K23" s="120">
        <v>0.17460000000000001</v>
      </c>
    </row>
    <row r="24" spans="1:11" ht="15" thickBot="1" x14ac:dyDescent="0.4">
      <c r="A24" s="116" t="s">
        <v>662</v>
      </c>
      <c r="B24" s="86" t="s">
        <v>663</v>
      </c>
      <c r="C24" s="105">
        <v>44610</v>
      </c>
      <c r="D24" s="90">
        <v>16.48</v>
      </c>
      <c r="E24" s="90">
        <v>16.27</v>
      </c>
      <c r="F24" s="90">
        <v>16.34</v>
      </c>
      <c r="G24" s="96">
        <v>0</v>
      </c>
      <c r="H24" s="102" t="s">
        <v>11</v>
      </c>
      <c r="I24" s="87">
        <v>5</v>
      </c>
      <c r="J24" s="87">
        <v>559</v>
      </c>
      <c r="K24" s="121">
        <v>0.18090000000000001</v>
      </c>
    </row>
    <row r="25" spans="1:11" ht="15" thickBot="1" x14ac:dyDescent="0.4">
      <c r="A25" s="115" t="s">
        <v>664</v>
      </c>
      <c r="B25" s="84" t="s">
        <v>665</v>
      </c>
      <c r="C25" s="104">
        <v>44638</v>
      </c>
      <c r="D25" s="89">
        <v>19.440000000000001</v>
      </c>
      <c r="E25" s="89">
        <v>18.21</v>
      </c>
      <c r="F25" s="89">
        <v>18.399999999999999</v>
      </c>
      <c r="G25" s="95">
        <v>0.73</v>
      </c>
      <c r="H25" s="101">
        <v>3.9E-2</v>
      </c>
      <c r="I25" s="85">
        <v>1</v>
      </c>
      <c r="J25" s="85">
        <v>107</v>
      </c>
      <c r="K25" s="120">
        <v>0.1832</v>
      </c>
    </row>
    <row r="26" spans="1:11" ht="15" thickBot="1" x14ac:dyDescent="0.4">
      <c r="A26" s="116" t="s">
        <v>666</v>
      </c>
      <c r="B26" s="86" t="s">
        <v>667</v>
      </c>
      <c r="C26" s="105">
        <v>44651</v>
      </c>
      <c r="D26" s="90">
        <v>20.21</v>
      </c>
      <c r="E26" s="90">
        <v>18.87</v>
      </c>
      <c r="F26" s="90">
        <v>19.22</v>
      </c>
      <c r="G26" s="93">
        <v>-0.79</v>
      </c>
      <c r="H26" s="99">
        <v>-3.7600000000000001E-2</v>
      </c>
      <c r="I26" s="87">
        <v>2</v>
      </c>
      <c r="J26" s="87">
        <v>132</v>
      </c>
      <c r="K26" s="121">
        <v>0.18340000000000001</v>
      </c>
    </row>
    <row r="27" spans="1:11" ht="15" thickBot="1" x14ac:dyDescent="0.4">
      <c r="A27" s="115" t="s">
        <v>668</v>
      </c>
      <c r="B27" s="84" t="s">
        <v>634</v>
      </c>
      <c r="C27" s="104">
        <v>44729</v>
      </c>
      <c r="D27" s="89">
        <v>23.13</v>
      </c>
      <c r="E27" s="89">
        <v>23.81</v>
      </c>
      <c r="F27" s="89">
        <v>24.09</v>
      </c>
      <c r="G27" s="138">
        <v>0</v>
      </c>
      <c r="H27" s="139" t="s">
        <v>11</v>
      </c>
      <c r="I27" s="85">
        <v>20</v>
      </c>
      <c r="J27" s="85">
        <v>199</v>
      </c>
      <c r="K27" s="120">
        <v>0.18740000000000001</v>
      </c>
    </row>
    <row r="28" spans="1:11" ht="15" thickBot="1" x14ac:dyDescent="0.4">
      <c r="A28" s="116" t="s">
        <v>669</v>
      </c>
      <c r="B28" s="86" t="s">
        <v>670</v>
      </c>
      <c r="C28" s="105">
        <v>44742</v>
      </c>
      <c r="D28" s="90">
        <v>25.75</v>
      </c>
      <c r="E28" s="90">
        <v>24.29</v>
      </c>
      <c r="F28" s="90">
        <v>25.05</v>
      </c>
      <c r="G28" s="96">
        <v>0</v>
      </c>
      <c r="H28" s="102" t="s">
        <v>11</v>
      </c>
      <c r="I28" s="87">
        <v>10</v>
      </c>
      <c r="J28" s="87">
        <v>139</v>
      </c>
      <c r="K28" s="121">
        <v>0.1893</v>
      </c>
    </row>
    <row r="29" spans="1:11" ht="15" thickBot="1" x14ac:dyDescent="0.4">
      <c r="A29" s="117" t="s">
        <v>671</v>
      </c>
      <c r="B29" s="107" t="s">
        <v>672</v>
      </c>
      <c r="C29" s="108">
        <v>44820</v>
      </c>
      <c r="D29" s="109">
        <v>30.25</v>
      </c>
      <c r="E29" s="109">
        <v>28.51</v>
      </c>
      <c r="F29" s="109">
        <v>29.02</v>
      </c>
      <c r="G29" s="110">
        <v>2.54</v>
      </c>
      <c r="H29" s="111">
        <v>9.1700000000000004E-2</v>
      </c>
      <c r="I29" s="112">
        <v>1</v>
      </c>
      <c r="J29" s="112">
        <v>35</v>
      </c>
      <c r="K29" s="122">
        <v>0.19059999999999999</v>
      </c>
    </row>
    <row r="30" spans="1:11" x14ac:dyDescent="0.35">
      <c r="A30" s="39" t="s">
        <v>394</v>
      </c>
      <c r="B30"/>
      <c r="C30"/>
      <c r="D30"/>
      <c r="E30"/>
      <c r="F30"/>
      <c r="G30"/>
      <c r="H30"/>
      <c r="I30"/>
      <c r="J30"/>
      <c r="K30"/>
    </row>
    <row r="31" spans="1:11" ht="22.5" thickBot="1" x14ac:dyDescent="0.4">
      <c r="A31" s="40" t="s">
        <v>0</v>
      </c>
      <c r="B31" s="41" t="s">
        <v>1</v>
      </c>
      <c r="C31" s="42" t="s">
        <v>22</v>
      </c>
      <c r="D31" s="41" t="s">
        <v>3</v>
      </c>
      <c r="E31" s="41" t="s">
        <v>4</v>
      </c>
      <c r="F31" s="41" t="s">
        <v>5</v>
      </c>
      <c r="G31" s="41" t="s">
        <v>6</v>
      </c>
      <c r="H31" s="41" t="s">
        <v>7</v>
      </c>
      <c r="I31" s="41" t="s">
        <v>8</v>
      </c>
      <c r="J31" s="41" t="s">
        <v>9</v>
      </c>
      <c r="K31" s="41" t="s">
        <v>10</v>
      </c>
    </row>
    <row r="32" spans="1:11" ht="15" thickBot="1" x14ac:dyDescent="0.4">
      <c r="A32" s="43" t="s">
        <v>673</v>
      </c>
      <c r="B32" s="44" t="s">
        <v>84</v>
      </c>
      <c r="C32" s="59">
        <v>44461</v>
      </c>
      <c r="D32" s="44">
        <v>9.4</v>
      </c>
      <c r="E32" s="44">
        <v>9.18</v>
      </c>
      <c r="F32" s="44">
        <v>9.32</v>
      </c>
      <c r="G32" s="46">
        <v>1.19</v>
      </c>
      <c r="H32" s="47">
        <v>0.1449</v>
      </c>
      <c r="I32" s="58">
        <v>2933</v>
      </c>
      <c r="J32" s="58">
        <v>9264</v>
      </c>
      <c r="K32" s="45">
        <v>0.40849999999999997</v>
      </c>
    </row>
    <row r="33" spans="1:11" ht="15" thickBot="1" x14ac:dyDescent="0.4">
      <c r="A33" s="43" t="s">
        <v>674</v>
      </c>
      <c r="B33" s="44" t="s">
        <v>87</v>
      </c>
      <c r="C33" s="59">
        <v>44463</v>
      </c>
      <c r="D33" s="44">
        <v>9.5</v>
      </c>
      <c r="E33" s="44">
        <v>9.5500000000000007</v>
      </c>
      <c r="F33" s="44">
        <v>9.66</v>
      </c>
      <c r="G33" s="46">
        <v>0.89</v>
      </c>
      <c r="H33" s="47">
        <v>0.10340000000000001</v>
      </c>
      <c r="I33" s="58">
        <v>2211</v>
      </c>
      <c r="J33" s="58">
        <v>3806</v>
      </c>
      <c r="K33" s="45">
        <v>0.26640000000000003</v>
      </c>
    </row>
    <row r="34" spans="1:11" ht="15" thickBot="1" x14ac:dyDescent="0.4">
      <c r="A34" s="43" t="s">
        <v>675</v>
      </c>
      <c r="B34" s="44" t="s">
        <v>91</v>
      </c>
      <c r="C34" s="59">
        <v>44466</v>
      </c>
      <c r="D34" s="44">
        <v>9.48</v>
      </c>
      <c r="E34" s="44">
        <v>9.82</v>
      </c>
      <c r="F34" s="44">
        <v>9.92</v>
      </c>
      <c r="G34" s="46">
        <v>0.17</v>
      </c>
      <c r="H34" s="47">
        <v>1.83E-2</v>
      </c>
      <c r="I34" s="44">
        <v>348</v>
      </c>
      <c r="J34" s="58">
        <v>1216</v>
      </c>
      <c r="K34" s="45">
        <v>0.2039</v>
      </c>
    </row>
    <row r="35" spans="1:11" ht="15" thickBot="1" x14ac:dyDescent="0.4">
      <c r="A35" s="43" t="s">
        <v>676</v>
      </c>
      <c r="B35" s="44" t="s">
        <v>677</v>
      </c>
      <c r="C35" s="59">
        <v>44468</v>
      </c>
      <c r="D35" s="44">
        <v>8.67</v>
      </c>
      <c r="E35" s="44">
        <v>10.18</v>
      </c>
      <c r="F35" s="44">
        <v>10.35</v>
      </c>
      <c r="G35" s="48">
        <v>-1.9</v>
      </c>
      <c r="H35" s="49">
        <v>-0.17979999999999999</v>
      </c>
      <c r="I35" s="44">
        <v>302</v>
      </c>
      <c r="J35" s="58">
        <v>3493</v>
      </c>
      <c r="K35" s="45">
        <v>0.1978</v>
      </c>
    </row>
    <row r="36" spans="1:11" ht="15" thickBot="1" x14ac:dyDescent="0.4">
      <c r="A36" s="43" t="s">
        <v>678</v>
      </c>
      <c r="B36" s="44" t="s">
        <v>679</v>
      </c>
      <c r="C36" s="59">
        <v>44469</v>
      </c>
      <c r="D36" s="44">
        <v>9.1199999999999992</v>
      </c>
      <c r="E36" s="44">
        <v>10.43</v>
      </c>
      <c r="F36" s="44">
        <v>10.55</v>
      </c>
      <c r="G36" s="48">
        <v>-1.35</v>
      </c>
      <c r="H36" s="49">
        <v>-0.12889999999999999</v>
      </c>
      <c r="I36" s="44">
        <v>129</v>
      </c>
      <c r="J36" s="58">
        <v>8103</v>
      </c>
      <c r="K36" s="45">
        <v>0.1953</v>
      </c>
    </row>
    <row r="37" spans="1:11" ht="15" thickBot="1" x14ac:dyDescent="0.4">
      <c r="A37" s="43" t="s">
        <v>680</v>
      </c>
      <c r="B37" s="44" t="s">
        <v>100</v>
      </c>
      <c r="C37" s="59">
        <v>44470</v>
      </c>
      <c r="D37" s="44">
        <v>9.65</v>
      </c>
      <c r="E37" s="44">
        <v>10.69</v>
      </c>
      <c r="F37" s="44">
        <v>10.78</v>
      </c>
      <c r="G37" s="48">
        <v>-1.29</v>
      </c>
      <c r="H37" s="49">
        <v>-0.1179</v>
      </c>
      <c r="I37" s="44">
        <v>340</v>
      </c>
      <c r="J37" s="58">
        <v>4339</v>
      </c>
      <c r="K37" s="45">
        <v>0.19489999999999999</v>
      </c>
    </row>
    <row r="38" spans="1:11" ht="15" thickBot="1" x14ac:dyDescent="0.4">
      <c r="A38" s="43" t="s">
        <v>681</v>
      </c>
      <c r="B38" s="44" t="s">
        <v>460</v>
      </c>
      <c r="C38" s="59">
        <v>44473</v>
      </c>
      <c r="D38" s="44">
        <v>9.18</v>
      </c>
      <c r="E38" s="44">
        <v>10.96</v>
      </c>
      <c r="F38" s="44">
        <v>11.11</v>
      </c>
      <c r="G38" s="48">
        <v>-1.82</v>
      </c>
      <c r="H38" s="49">
        <v>-0.16550000000000001</v>
      </c>
      <c r="I38" s="44">
        <v>31</v>
      </c>
      <c r="J38" s="58">
        <v>6704</v>
      </c>
      <c r="K38" s="45">
        <v>0.1827</v>
      </c>
    </row>
    <row r="39" spans="1:11" ht="15" thickBot="1" x14ac:dyDescent="0.4">
      <c r="A39" s="43" t="s">
        <v>682</v>
      </c>
      <c r="B39" s="44" t="s">
        <v>683</v>
      </c>
      <c r="C39" s="59">
        <v>44475</v>
      </c>
      <c r="D39" s="44">
        <v>10.87</v>
      </c>
      <c r="E39" s="44">
        <v>11.33</v>
      </c>
      <c r="F39" s="44">
        <v>11.53</v>
      </c>
      <c r="G39" s="48">
        <v>-4.13</v>
      </c>
      <c r="H39" s="49">
        <v>-0.27529999999999999</v>
      </c>
      <c r="I39" s="44">
        <v>21</v>
      </c>
      <c r="J39" s="58">
        <v>1392</v>
      </c>
      <c r="K39" s="45">
        <v>0.18379999999999999</v>
      </c>
    </row>
    <row r="40" spans="1:11" ht="15" thickBot="1" x14ac:dyDescent="0.4">
      <c r="A40" s="43" t="s">
        <v>684</v>
      </c>
      <c r="B40" s="44" t="s">
        <v>460</v>
      </c>
      <c r="C40" s="59">
        <v>44477</v>
      </c>
      <c r="D40" s="44">
        <v>10.06</v>
      </c>
      <c r="E40" s="44">
        <v>11.78</v>
      </c>
      <c r="F40" s="44">
        <v>11.94</v>
      </c>
      <c r="G40" s="48">
        <v>-1.1499999999999999</v>
      </c>
      <c r="H40" s="49">
        <v>-0.1026</v>
      </c>
      <c r="I40" s="44">
        <v>54</v>
      </c>
      <c r="J40" s="58">
        <v>2532</v>
      </c>
      <c r="K40" s="45">
        <v>0.18490000000000001</v>
      </c>
    </row>
    <row r="41" spans="1:11" ht="15" thickBot="1" x14ac:dyDescent="0.4">
      <c r="A41" s="43" t="s">
        <v>685</v>
      </c>
      <c r="B41" s="44" t="s">
        <v>132</v>
      </c>
      <c r="C41" s="59">
        <v>44480</v>
      </c>
      <c r="D41" s="44">
        <v>9.91</v>
      </c>
      <c r="E41" s="44">
        <v>11.94</v>
      </c>
      <c r="F41" s="44">
        <v>12.24</v>
      </c>
      <c r="G41" s="48">
        <v>-3.46</v>
      </c>
      <c r="H41" s="49">
        <v>-0.25879999999999997</v>
      </c>
      <c r="I41" s="44">
        <v>44</v>
      </c>
      <c r="J41" s="44">
        <v>817</v>
      </c>
      <c r="K41" s="45">
        <v>0.1787</v>
      </c>
    </row>
    <row r="42" spans="1:11" ht="15" thickBot="1" x14ac:dyDescent="0.4">
      <c r="A42" s="43" t="s">
        <v>686</v>
      </c>
      <c r="B42" s="44" t="s">
        <v>679</v>
      </c>
      <c r="C42" s="59">
        <v>44482</v>
      </c>
      <c r="D42" s="44">
        <v>11.18</v>
      </c>
      <c r="E42" s="44">
        <v>12.3</v>
      </c>
      <c r="F42" s="44">
        <v>12.63</v>
      </c>
      <c r="G42" s="48">
        <v>-3.23</v>
      </c>
      <c r="H42" s="49">
        <v>-0.22409999999999999</v>
      </c>
      <c r="I42" s="44">
        <v>9</v>
      </c>
      <c r="J42" s="44">
        <v>196</v>
      </c>
      <c r="K42" s="45">
        <v>0.18049999999999999</v>
      </c>
    </row>
    <row r="43" spans="1:11" ht="15" thickBot="1" x14ac:dyDescent="0.4">
      <c r="A43" s="43" t="s">
        <v>687</v>
      </c>
      <c r="B43" s="44" t="s">
        <v>76</v>
      </c>
      <c r="C43" s="59">
        <v>44484</v>
      </c>
      <c r="D43" s="44">
        <v>12.28</v>
      </c>
      <c r="E43" s="44">
        <v>12.77</v>
      </c>
      <c r="F43" s="44">
        <v>12.85</v>
      </c>
      <c r="G43" s="48">
        <v>-0.75</v>
      </c>
      <c r="H43" s="49">
        <v>-5.7599999999999998E-2</v>
      </c>
      <c r="I43" s="58">
        <v>1744</v>
      </c>
      <c r="J43" s="58">
        <v>16787</v>
      </c>
      <c r="K43" s="45">
        <v>0.1782</v>
      </c>
    </row>
    <row r="44" spans="1:11" ht="15" thickBot="1" x14ac:dyDescent="0.4">
      <c r="A44" s="43" t="s">
        <v>688</v>
      </c>
      <c r="B44" s="44" t="s">
        <v>689</v>
      </c>
      <c r="C44" s="59">
        <v>44487</v>
      </c>
      <c r="D44" s="44">
        <v>11</v>
      </c>
      <c r="E44" s="44">
        <v>12.87</v>
      </c>
      <c r="F44" s="44">
        <v>13.17</v>
      </c>
      <c r="G44" s="48">
        <v>-3.5</v>
      </c>
      <c r="H44" s="49">
        <v>-0.2414</v>
      </c>
      <c r="I44" s="44">
        <v>8</v>
      </c>
      <c r="J44" s="44">
        <v>200</v>
      </c>
      <c r="K44" s="45">
        <v>0.17530000000000001</v>
      </c>
    </row>
    <row r="45" spans="1:11" ht="15" thickBot="1" x14ac:dyDescent="0.4">
      <c r="A45" s="43" t="s">
        <v>690</v>
      </c>
      <c r="B45" s="44" t="s">
        <v>691</v>
      </c>
      <c r="C45" s="59">
        <v>44489</v>
      </c>
      <c r="D45" s="44">
        <v>11.4</v>
      </c>
      <c r="E45" s="44">
        <v>13.22</v>
      </c>
      <c r="F45" s="44">
        <v>13.53</v>
      </c>
      <c r="G45" s="48">
        <v>-1.41</v>
      </c>
      <c r="H45" s="49">
        <v>-0.1101</v>
      </c>
      <c r="I45" s="44">
        <v>7</v>
      </c>
      <c r="J45" s="44">
        <v>124</v>
      </c>
      <c r="K45" s="45">
        <v>0.17699999999999999</v>
      </c>
    </row>
    <row r="46" spans="1:11" ht="15" thickBot="1" x14ac:dyDescent="0.4">
      <c r="A46" s="43" t="s">
        <v>692</v>
      </c>
      <c r="B46" s="44" t="s">
        <v>80</v>
      </c>
      <c r="C46" s="59">
        <v>44491</v>
      </c>
      <c r="D46" s="44">
        <v>12.63</v>
      </c>
      <c r="E46" s="44">
        <v>13.56</v>
      </c>
      <c r="F46" s="44">
        <v>13.86</v>
      </c>
      <c r="G46" s="48">
        <v>-1.77</v>
      </c>
      <c r="H46" s="49">
        <v>-0.1229</v>
      </c>
      <c r="I46" s="44">
        <v>39</v>
      </c>
      <c r="J46" s="44">
        <v>299</v>
      </c>
      <c r="K46" s="45">
        <v>0.1782</v>
      </c>
    </row>
    <row r="47" spans="1:11" ht="15" thickBot="1" x14ac:dyDescent="0.4">
      <c r="A47" s="43" t="s">
        <v>307</v>
      </c>
      <c r="B47" s="44" t="s">
        <v>253</v>
      </c>
      <c r="C47" s="59">
        <v>44498</v>
      </c>
      <c r="D47" s="44">
        <v>12.95</v>
      </c>
      <c r="E47" s="44">
        <v>14.52</v>
      </c>
      <c r="F47" s="44">
        <v>14.76</v>
      </c>
      <c r="G47" s="48">
        <v>-1.03</v>
      </c>
      <c r="H47" s="49">
        <v>-7.3700000000000002E-2</v>
      </c>
      <c r="I47" s="44">
        <v>69</v>
      </c>
      <c r="J47" s="44">
        <v>563</v>
      </c>
      <c r="K47" s="45">
        <v>0.17799999999999999</v>
      </c>
    </row>
    <row r="48" spans="1:11" ht="15" thickBot="1" x14ac:dyDescent="0.4">
      <c r="A48" s="43" t="s">
        <v>693</v>
      </c>
      <c r="B48" s="44" t="s">
        <v>87</v>
      </c>
      <c r="C48" s="59">
        <v>44519</v>
      </c>
      <c r="D48" s="44">
        <v>17</v>
      </c>
      <c r="E48" s="44">
        <v>17.079999999999998</v>
      </c>
      <c r="F48" s="44">
        <v>17.22</v>
      </c>
      <c r="G48" s="46">
        <v>0.35</v>
      </c>
      <c r="H48" s="47">
        <v>2.1000000000000001E-2</v>
      </c>
      <c r="I48" s="44">
        <v>125</v>
      </c>
      <c r="J48" s="58">
        <v>6593</v>
      </c>
      <c r="K48" s="45">
        <v>0.17949999999999999</v>
      </c>
    </row>
    <row r="49" spans="1:11" ht="15" thickBot="1" x14ac:dyDescent="0.4">
      <c r="A49" s="43" t="s">
        <v>694</v>
      </c>
      <c r="B49" s="44" t="s">
        <v>695</v>
      </c>
      <c r="C49" s="59">
        <v>44547</v>
      </c>
      <c r="D49" s="44">
        <v>19.97</v>
      </c>
      <c r="E49" s="44">
        <v>20.41</v>
      </c>
      <c r="F49" s="44">
        <v>20.84</v>
      </c>
      <c r="G49" s="48">
        <v>-1.62</v>
      </c>
      <c r="H49" s="49">
        <v>-7.4999999999999997E-2</v>
      </c>
      <c r="I49" s="44">
        <v>34</v>
      </c>
      <c r="J49" s="58">
        <v>3462</v>
      </c>
      <c r="K49" s="45">
        <v>0.1915</v>
      </c>
    </row>
    <row r="50" spans="1:11" ht="15" thickBot="1" x14ac:dyDescent="0.4">
      <c r="A50" s="43" t="s">
        <v>696</v>
      </c>
      <c r="B50" s="44" t="s">
        <v>697</v>
      </c>
      <c r="C50" s="59">
        <v>44561</v>
      </c>
      <c r="D50" s="44">
        <v>23.24</v>
      </c>
      <c r="E50" s="44">
        <v>21.41</v>
      </c>
      <c r="F50" s="44">
        <v>22.23</v>
      </c>
      <c r="G50" s="44">
        <v>0</v>
      </c>
      <c r="H50" s="44" t="s">
        <v>11</v>
      </c>
      <c r="I50" s="44">
        <v>88</v>
      </c>
      <c r="J50" s="58">
        <v>1018</v>
      </c>
      <c r="K50" s="45">
        <v>0.19320000000000001</v>
      </c>
    </row>
    <row r="51" spans="1:11" ht="15" thickBot="1" x14ac:dyDescent="0.4">
      <c r="A51" s="43" t="s">
        <v>698</v>
      </c>
      <c r="B51" s="44" t="s">
        <v>699</v>
      </c>
      <c r="C51" s="59">
        <v>44582</v>
      </c>
      <c r="D51" s="44">
        <v>22</v>
      </c>
      <c r="E51" s="44">
        <v>23.27</v>
      </c>
      <c r="F51" s="44">
        <v>24.03</v>
      </c>
      <c r="G51" s="48">
        <v>-2.58</v>
      </c>
      <c r="H51" s="49">
        <v>-0.105</v>
      </c>
      <c r="I51" s="44">
        <v>7</v>
      </c>
      <c r="J51" s="58">
        <v>2035</v>
      </c>
      <c r="K51" s="45">
        <v>0.19389999999999999</v>
      </c>
    </row>
    <row r="52" spans="1:11" ht="15" thickBot="1" x14ac:dyDescent="0.4">
      <c r="A52" s="43" t="s">
        <v>700</v>
      </c>
      <c r="B52" s="44" t="s">
        <v>467</v>
      </c>
      <c r="C52" s="59">
        <v>44610</v>
      </c>
      <c r="D52" s="44">
        <v>25.01</v>
      </c>
      <c r="E52" s="44">
        <v>25.95</v>
      </c>
      <c r="F52" s="44">
        <v>26.23</v>
      </c>
      <c r="G52" s="48">
        <v>-2.85</v>
      </c>
      <c r="H52" s="49">
        <v>-0.1023</v>
      </c>
      <c r="I52" s="44">
        <v>17</v>
      </c>
      <c r="J52" s="44">
        <v>80</v>
      </c>
      <c r="K52" s="45">
        <v>0.1948</v>
      </c>
    </row>
    <row r="53" spans="1:11" ht="15" thickBot="1" x14ac:dyDescent="0.4">
      <c r="A53" s="43" t="s">
        <v>701</v>
      </c>
      <c r="B53" s="44" t="s">
        <v>275</v>
      </c>
      <c r="C53" s="59">
        <v>44638</v>
      </c>
      <c r="D53" s="44">
        <v>28.09</v>
      </c>
      <c r="E53" s="44">
        <v>28.51</v>
      </c>
      <c r="F53" s="44">
        <v>28.8</v>
      </c>
      <c r="G53" s="48">
        <v>-1.8</v>
      </c>
      <c r="H53" s="49">
        <v>-6.0199999999999997E-2</v>
      </c>
      <c r="I53" s="44">
        <v>2</v>
      </c>
      <c r="J53" s="44">
        <v>412</v>
      </c>
      <c r="K53" s="45">
        <v>0.20019999999999999</v>
      </c>
    </row>
    <row r="54" spans="1:11" ht="15" thickBot="1" x14ac:dyDescent="0.4">
      <c r="A54" s="43" t="s">
        <v>702</v>
      </c>
      <c r="B54" s="44" t="s">
        <v>197</v>
      </c>
      <c r="C54" s="59">
        <v>44651</v>
      </c>
      <c r="D54" s="44">
        <v>27.04</v>
      </c>
      <c r="E54" s="44">
        <v>29.28</v>
      </c>
      <c r="F54" s="44">
        <v>29.8</v>
      </c>
      <c r="G54" s="46">
        <v>1.56</v>
      </c>
      <c r="H54" s="47">
        <v>6.1199999999999997E-2</v>
      </c>
      <c r="I54" s="44">
        <v>2</v>
      </c>
      <c r="J54" s="44">
        <v>85</v>
      </c>
      <c r="K54" s="45">
        <v>0.20130000000000001</v>
      </c>
    </row>
    <row r="55" spans="1:11" ht="15" thickBot="1" x14ac:dyDescent="0.4">
      <c r="A55" s="43" t="s">
        <v>703</v>
      </c>
      <c r="B55" s="44" t="s">
        <v>704</v>
      </c>
      <c r="C55" s="59">
        <v>44729</v>
      </c>
      <c r="D55" s="44">
        <v>37.6</v>
      </c>
      <c r="E55" s="44">
        <v>34.96</v>
      </c>
      <c r="F55" s="44">
        <v>35.36</v>
      </c>
      <c r="G55" s="44">
        <v>0</v>
      </c>
      <c r="H55" s="44" t="s">
        <v>11</v>
      </c>
      <c r="I55" s="44">
        <v>4</v>
      </c>
      <c r="J55" s="44">
        <v>602</v>
      </c>
      <c r="K55" s="45">
        <v>0.20710000000000001</v>
      </c>
    </row>
    <row r="56" spans="1:11" ht="15" thickBot="1" x14ac:dyDescent="0.4">
      <c r="A56" s="43" t="s">
        <v>705</v>
      </c>
      <c r="B56" s="44" t="s">
        <v>706</v>
      </c>
      <c r="C56" s="59">
        <v>44742</v>
      </c>
      <c r="D56" s="44">
        <v>27.25</v>
      </c>
      <c r="E56" s="44">
        <v>35.450000000000003</v>
      </c>
      <c r="F56" s="44">
        <v>36.520000000000003</v>
      </c>
      <c r="G56" s="44">
        <v>0</v>
      </c>
      <c r="H56" s="44" t="s">
        <v>11</v>
      </c>
      <c r="I56" s="44">
        <v>1</v>
      </c>
      <c r="J56" s="44">
        <v>53</v>
      </c>
      <c r="K56" s="45">
        <v>0.2099</v>
      </c>
    </row>
    <row r="57" spans="1:11" x14ac:dyDescent="0.35">
      <c r="A57" s="43" t="s">
        <v>707</v>
      </c>
      <c r="B57" s="44" t="s">
        <v>49</v>
      </c>
      <c r="C57" s="59">
        <v>44820</v>
      </c>
      <c r="D57" s="44">
        <v>41.3</v>
      </c>
      <c r="E57" s="44">
        <v>40.549999999999997</v>
      </c>
      <c r="F57" s="44">
        <v>41.17</v>
      </c>
      <c r="G57" s="44">
        <v>0</v>
      </c>
      <c r="H57" s="44" t="s">
        <v>11</v>
      </c>
      <c r="I57" s="44">
        <v>2</v>
      </c>
      <c r="J57" s="44">
        <v>813</v>
      </c>
      <c r="K57" s="45">
        <v>0.21290000000000001</v>
      </c>
    </row>
  </sheetData>
  <hyperlinks>
    <hyperlink ref="A1" r:id="rId1" tooltip="Remove Strike Filtering" display="https://finance.yahoo.com/quote/SPY/options?straddle=false" xr:uid="{385C3DF5-75A8-4628-A25E-180157A3F694}"/>
    <hyperlink ref="A4" r:id="rId2" display="https://finance.yahoo.com/quote/SPY210922C00442000?p=SPY210922C00442000" xr:uid="{B5B7FEA4-AC83-4BD4-B7F6-614A50DD9177}"/>
    <hyperlink ref="C4" r:id="rId3" display="https://finance.yahoo.com/quote/SPY/options?date=1632268800&amp;straddle=false" xr:uid="{D9A1995D-8594-4A36-A8A1-4704560199B3}"/>
    <hyperlink ref="A5" r:id="rId4" display="https://finance.yahoo.com/quote/SPY210924C00442000?p=SPY210924C00442000" xr:uid="{9AB6ECAF-B8FC-442D-BF53-0DE2B2FAA8CD}"/>
    <hyperlink ref="C5" r:id="rId5" display="https://finance.yahoo.com/quote/SPY/options?date=1632441600&amp;straddle=false" xr:uid="{AC39E831-CF80-44EE-B424-FD55E12A6B9F}"/>
    <hyperlink ref="A6" r:id="rId6" display="https://finance.yahoo.com/quote/SPY210927C00442000?p=SPY210927C00442000" xr:uid="{B94AC5DA-8586-4DAE-813D-0368C6B07511}"/>
    <hyperlink ref="C6" r:id="rId7" display="https://finance.yahoo.com/quote/SPY/options?date=1632700800&amp;straddle=false" xr:uid="{0CBCDCF6-11FA-4184-9F8B-938E25A2629D}"/>
    <hyperlink ref="A7" r:id="rId8" display="https://finance.yahoo.com/quote/SPY210929C00442000?p=SPY210929C00442000" xr:uid="{1CB48880-0BF2-47AF-9991-18C8C0FC1F5C}"/>
    <hyperlink ref="C7" r:id="rId9" display="https://finance.yahoo.com/quote/SPY/options?date=1632873600&amp;straddle=false" xr:uid="{55BC9C55-2F00-4FD7-B13E-3A2281768388}"/>
    <hyperlink ref="A8" r:id="rId10" display="https://finance.yahoo.com/quote/SPY210930C00442000?p=SPY210930C00442000" xr:uid="{427AA9C9-7D54-4284-9C97-229D0B2154D7}"/>
    <hyperlink ref="C8" r:id="rId11" display="https://finance.yahoo.com/quote/SPY/options?date=1632960000&amp;straddle=false" xr:uid="{D8152E5E-DE40-4225-9D96-020D0EB25EF8}"/>
    <hyperlink ref="A9" r:id="rId12" display="https://finance.yahoo.com/quote/SPY211001C00442000?p=SPY211001C00442000" xr:uid="{B056E89D-AA72-4C43-BE6D-9FFAE5FF34D3}"/>
    <hyperlink ref="C9" r:id="rId13" display="https://finance.yahoo.com/quote/SPY/options?date=1633046400&amp;straddle=false" xr:uid="{4D3DAEDD-F47C-4CAF-BB43-BCC671C4D647}"/>
    <hyperlink ref="A10" r:id="rId14" display="https://finance.yahoo.com/quote/SPY211004C00442000?p=SPY211004C00442000" xr:uid="{94FE9F30-18E9-4BA0-ABCB-64107092B4D0}"/>
    <hyperlink ref="C10" r:id="rId15" display="https://finance.yahoo.com/quote/SPY/options?date=1633305600&amp;straddle=false" xr:uid="{0EC226EC-EBF6-4D3B-9B36-63D485548DFA}"/>
    <hyperlink ref="A11" r:id="rId16" display="https://finance.yahoo.com/quote/SPY211006C00442000?p=SPY211006C00442000" xr:uid="{0D55D85B-EAEF-4C7B-B6C7-B17DAF4F9B57}"/>
    <hyperlink ref="C11" r:id="rId17" display="https://finance.yahoo.com/quote/SPY/options?date=1633478400&amp;straddle=false" xr:uid="{32608A2D-EBAF-413A-A262-F2BB24C49D66}"/>
    <hyperlink ref="A12" r:id="rId18" display="https://finance.yahoo.com/quote/SPY211008C00442000?p=SPY211008C00442000" xr:uid="{8D8CEA8A-AE53-4838-B49F-567E9895F152}"/>
    <hyperlink ref="C12" r:id="rId19" display="https://finance.yahoo.com/quote/SPY/options?date=1633651200&amp;straddle=false" xr:uid="{0BC57B12-B815-4FEB-A522-291E4FF66BF2}"/>
    <hyperlink ref="A13" r:id="rId20" display="https://finance.yahoo.com/quote/SPY211011C00442000?p=SPY211011C00442000" xr:uid="{F736B385-71C6-4C5A-AB36-601141D918CA}"/>
    <hyperlink ref="C13" r:id="rId21" display="https://finance.yahoo.com/quote/SPY/options?date=1633910400&amp;straddle=false" xr:uid="{F3BC3662-BD1D-46AF-BB3C-C5A2A8D8FC49}"/>
    <hyperlink ref="A14" r:id="rId22" display="https://finance.yahoo.com/quote/SPY211013C00442000?p=SPY211013C00442000" xr:uid="{169E2D57-CE2C-45A2-91A5-AB3921CBEA29}"/>
    <hyperlink ref="C14" r:id="rId23" display="https://finance.yahoo.com/quote/SPY/options?date=1634083200&amp;straddle=false" xr:uid="{FA4E069A-CEF2-4C18-8E82-2EC493AE3723}"/>
    <hyperlink ref="A15" r:id="rId24" display="https://finance.yahoo.com/quote/SPY211015C00442000?p=SPY211015C00442000" xr:uid="{C25498C3-8E94-4D93-A8C2-BE3852DC6BF9}"/>
    <hyperlink ref="C15" r:id="rId25" display="https://finance.yahoo.com/quote/SPY/options?date=1634256000&amp;straddle=false" xr:uid="{CE8A055D-2046-44C0-8278-27B606E55DA6}"/>
    <hyperlink ref="A16" r:id="rId26" display="https://finance.yahoo.com/quote/SPY211018C00442000?p=SPY211018C00442000" xr:uid="{B194EB73-8D95-4686-A687-94BBDAC3CC1F}"/>
    <hyperlink ref="C16" r:id="rId27" display="https://finance.yahoo.com/quote/SPY/options?date=1634515200&amp;straddle=false" xr:uid="{A8B768E4-5205-44AA-A0E9-04A16E0678C7}"/>
    <hyperlink ref="A17" r:id="rId28" display="https://finance.yahoo.com/quote/SPY211020C00442000?p=SPY211020C00442000" xr:uid="{0E6B8D7D-20C6-49AE-97FB-F5AAF6C001D9}"/>
    <hyperlink ref="C17" r:id="rId29" display="https://finance.yahoo.com/quote/SPY/options?date=1634688000&amp;straddle=false" xr:uid="{5614417D-6428-4ADB-8EC5-0A7DF3C512A3}"/>
    <hyperlink ref="A18" r:id="rId30" display="https://finance.yahoo.com/quote/SPY211022C00442000?p=SPY211022C00442000" xr:uid="{EDB54F84-9FEB-46D2-9973-55D4C6EDC1B6}"/>
    <hyperlink ref="C18" r:id="rId31" display="https://finance.yahoo.com/quote/SPY/options?date=1634860800&amp;straddle=false" xr:uid="{682FD46B-B9EC-4157-9740-0033E1ADF116}"/>
    <hyperlink ref="A19" r:id="rId32" display="https://finance.yahoo.com/quote/SPY211029C00442000?p=SPY211029C00442000" xr:uid="{84B7117A-FD2B-46F8-B6C7-FCBEE1B349AC}"/>
    <hyperlink ref="C19" r:id="rId33" display="https://finance.yahoo.com/quote/SPY/options?date=1635465600&amp;straddle=false" xr:uid="{D642D45A-033A-4CEF-B81A-AD6C74856983}"/>
    <hyperlink ref="A20" r:id="rId34" display="https://finance.yahoo.com/quote/SPY211119C00442000?p=SPY211119C00442000" xr:uid="{7D1AF2C3-B46C-497F-B7A8-4D3BEE40FFBE}"/>
    <hyperlink ref="C20" r:id="rId35" display="https://finance.yahoo.com/quote/SPY/options?date=1637280000&amp;straddle=false" xr:uid="{52E48543-AED8-49F6-93FD-22927E935BC7}"/>
    <hyperlink ref="A21" r:id="rId36" display="https://finance.yahoo.com/quote/SPY211217C00442000?p=SPY211217C00442000" xr:uid="{1B930009-6FE3-4C94-9742-E547162349F9}"/>
    <hyperlink ref="C21" r:id="rId37" display="https://finance.yahoo.com/quote/SPY/options?date=1639699200&amp;straddle=false" xr:uid="{A7537F7D-7417-4DB3-81D6-9A7D4AFBA26D}"/>
    <hyperlink ref="A22" r:id="rId38" display="https://finance.yahoo.com/quote/SPY211231C00442000?p=SPY211231C00442000" xr:uid="{810ED77E-8177-4E9C-8133-5D163A10D9B8}"/>
    <hyperlink ref="C22" r:id="rId39" display="https://finance.yahoo.com/quote/SPY/options?date=1640908800&amp;straddle=false" xr:uid="{C7387C3E-0C55-4346-8C46-BEF9F6F91C7F}"/>
    <hyperlink ref="A23" r:id="rId40" display="https://finance.yahoo.com/quote/SPY220121C00442000?p=SPY220121C00442000" xr:uid="{0415C70A-FAAD-4059-9296-3F58337D080D}"/>
    <hyperlink ref="C23" r:id="rId41" display="https://finance.yahoo.com/quote/SPY/options?date=1642723200&amp;straddle=false" xr:uid="{2896D7C5-2B1C-426F-B1F0-881A0D2917B5}"/>
    <hyperlink ref="A24" r:id="rId42" display="https://finance.yahoo.com/quote/SPY220218C00442000?p=SPY220218C00442000" xr:uid="{63016FE3-4950-4A43-A544-2C5B3B8A0E67}"/>
    <hyperlink ref="C24" r:id="rId43" display="https://finance.yahoo.com/quote/SPY/options?date=1645142400&amp;straddle=false" xr:uid="{01074595-D0D9-4A50-A63F-7EFD8B2BE81A}"/>
    <hyperlink ref="A25" r:id="rId44" display="https://finance.yahoo.com/quote/SPY220318C00442000?p=SPY220318C00442000" xr:uid="{08E0110B-FE2E-42D9-80A8-98A8E862C430}"/>
    <hyperlink ref="C25" r:id="rId45" display="https://finance.yahoo.com/quote/SPY/options?date=1647561600&amp;straddle=false" xr:uid="{3DC2A059-FDE8-43CA-B3E8-57D2BFEA75ED}"/>
    <hyperlink ref="A26" r:id="rId46" display="https://finance.yahoo.com/quote/SPY220331C00442000?p=SPY220331C00442000" xr:uid="{DFF3018B-B771-4B17-89BF-B063C4CEC4E3}"/>
    <hyperlink ref="C26" r:id="rId47" display="https://finance.yahoo.com/quote/SPY/options?date=1648684800&amp;straddle=false" xr:uid="{63C2D35B-538B-4A59-A2B0-28C4636B830A}"/>
    <hyperlink ref="A27" r:id="rId48" display="https://finance.yahoo.com/quote/SPY220617C00442000?p=SPY220617C00442000" xr:uid="{A86368F5-492F-4EE3-B5EE-BD3874CDAA49}"/>
    <hyperlink ref="C27" r:id="rId49" display="https://finance.yahoo.com/quote/SPY/options?date=1655424000&amp;straddle=false" xr:uid="{3FC959DA-F091-4B8D-A1E1-5B0BFD4A6A32}"/>
    <hyperlink ref="A28" r:id="rId50" display="https://finance.yahoo.com/quote/SPY220630C00442000?p=SPY220630C00442000" xr:uid="{BA1A4B01-7EE5-4540-8FB4-4A0F0E5C8BB1}"/>
    <hyperlink ref="C28" r:id="rId51" display="https://finance.yahoo.com/quote/SPY/options?date=1656547200&amp;straddle=false" xr:uid="{09EBA059-71AD-41A5-8E7A-31EE446A258C}"/>
    <hyperlink ref="A29" r:id="rId52" display="https://finance.yahoo.com/quote/SPY220916C00442000?p=SPY220916C00442000" xr:uid="{683202C5-E2BE-4649-A7C9-948F01DB5088}"/>
    <hyperlink ref="C29" r:id="rId53" display="https://finance.yahoo.com/quote/SPY/options?date=1663286400&amp;straddle=false" xr:uid="{465C1E49-48C2-4A76-8AF7-2EE090B9F82B}"/>
    <hyperlink ref="A32" r:id="rId54" display="https://finance.yahoo.com/quote/SPY210922P00442000?p=SPY210922P00442000" xr:uid="{A0D4CDCC-6154-4C72-BBE6-ECF5A01EBFD9}"/>
    <hyperlink ref="C32" r:id="rId55" display="https://finance.yahoo.com/quote/SPY/options?date=1632268800&amp;straddle=false" xr:uid="{10DD448C-A1AC-4E65-B097-7F79A6DF330D}"/>
    <hyperlink ref="A33" r:id="rId56" display="https://finance.yahoo.com/quote/SPY210924P00442000?p=SPY210924P00442000" xr:uid="{6DD22CED-1781-4034-BBCE-CB50DBDC8830}"/>
    <hyperlink ref="C33" r:id="rId57" display="https://finance.yahoo.com/quote/SPY/options?date=1632441600&amp;straddle=false" xr:uid="{8C5BC6C8-262B-4A19-8061-9EDB8DD77432}"/>
    <hyperlink ref="A34" r:id="rId58" display="https://finance.yahoo.com/quote/SPY210927P00442000?p=SPY210927P00442000" xr:uid="{DCDDB7DC-E34E-4C72-90FC-5049D9E4BCA8}"/>
    <hyperlink ref="C34" r:id="rId59" display="https://finance.yahoo.com/quote/SPY/options?date=1632700800&amp;straddle=false" xr:uid="{EF19255C-A471-46D4-8845-104FF5368DCC}"/>
    <hyperlink ref="A35" r:id="rId60" display="https://finance.yahoo.com/quote/SPY210929P00442000?p=SPY210929P00442000" xr:uid="{5345E160-FFEA-4DA1-82F6-BFD7E0171EA5}"/>
    <hyperlink ref="C35" r:id="rId61" display="https://finance.yahoo.com/quote/SPY/options?date=1632873600&amp;straddle=false" xr:uid="{D393F1FE-265A-46D1-985B-8C893DB89893}"/>
    <hyperlink ref="A36" r:id="rId62" display="https://finance.yahoo.com/quote/SPY210930P00442000?p=SPY210930P00442000" xr:uid="{B73D0B91-3922-47C9-93AC-A4D77CEB5066}"/>
    <hyperlink ref="C36" r:id="rId63" display="https://finance.yahoo.com/quote/SPY/options?date=1632960000&amp;straddle=false" xr:uid="{DC163329-2849-4B6B-99D4-E20A77244C02}"/>
    <hyperlink ref="A37" r:id="rId64" display="https://finance.yahoo.com/quote/SPY211001P00442000?p=SPY211001P00442000" xr:uid="{6E96FB5B-81DC-48D4-94AA-53182A46255F}"/>
    <hyperlink ref="C37" r:id="rId65" display="https://finance.yahoo.com/quote/SPY/options?date=1633046400&amp;straddle=false" xr:uid="{F6FC5143-2937-4E9C-A0C1-5E8C08DDF2F9}"/>
    <hyperlink ref="A38" r:id="rId66" display="https://finance.yahoo.com/quote/SPY211004P00442000?p=SPY211004P00442000" xr:uid="{E5A330C0-CCCA-4568-9D2D-028844A9364C}"/>
    <hyperlink ref="C38" r:id="rId67" display="https://finance.yahoo.com/quote/SPY/options?date=1633305600&amp;straddle=false" xr:uid="{EE5D47EB-5423-478F-ACBF-597D8E895617}"/>
    <hyperlink ref="A39" r:id="rId68" display="https://finance.yahoo.com/quote/SPY211006P00442000?p=SPY211006P00442000" xr:uid="{1240D031-E1BE-423F-A6A3-6D8C20E8EB01}"/>
    <hyperlink ref="C39" r:id="rId69" display="https://finance.yahoo.com/quote/SPY/options?date=1633478400&amp;straddle=false" xr:uid="{7184A295-5A28-46EC-ACCB-A78203EAB2C7}"/>
    <hyperlink ref="A40" r:id="rId70" display="https://finance.yahoo.com/quote/SPY211008P00442000?p=SPY211008P00442000" xr:uid="{2E184041-2A69-468F-BFFB-4E58E70CC1DD}"/>
    <hyperlink ref="C40" r:id="rId71" display="https://finance.yahoo.com/quote/SPY/options?date=1633651200&amp;straddle=false" xr:uid="{23673910-7D82-4323-A53D-403800FAF098}"/>
    <hyperlink ref="A41" r:id="rId72" display="https://finance.yahoo.com/quote/SPY211011P00442000?p=SPY211011P00442000" xr:uid="{4233E658-E67C-4269-B6DD-4043610DDA5D}"/>
    <hyperlink ref="C41" r:id="rId73" display="https://finance.yahoo.com/quote/SPY/options?date=1633910400&amp;straddle=false" xr:uid="{0998614A-7C8D-455E-A99C-419F761332DE}"/>
    <hyperlink ref="A42" r:id="rId74" display="https://finance.yahoo.com/quote/SPY211013P00442000?p=SPY211013P00442000" xr:uid="{AB128902-00F5-40C1-99C1-558ED9D19A0F}"/>
    <hyperlink ref="C42" r:id="rId75" display="https://finance.yahoo.com/quote/SPY/options?date=1634083200&amp;straddle=false" xr:uid="{9B8AD2CA-AE01-472F-872B-F6F91F56D696}"/>
    <hyperlink ref="A43" r:id="rId76" display="https://finance.yahoo.com/quote/SPY211015P00442000?p=SPY211015P00442000" xr:uid="{32EE0703-65FC-4005-A3FB-895115CE5304}"/>
    <hyperlink ref="C43" r:id="rId77" display="https://finance.yahoo.com/quote/SPY/options?date=1634256000&amp;straddle=false" xr:uid="{3114D72A-A2EF-4239-B7ED-C74068FAB02B}"/>
    <hyperlink ref="A44" r:id="rId78" display="https://finance.yahoo.com/quote/SPY211018P00442000?p=SPY211018P00442000" xr:uid="{92661DF9-F0BC-4414-8D89-877DEFA6D472}"/>
    <hyperlink ref="C44" r:id="rId79" display="https://finance.yahoo.com/quote/SPY/options?date=1634515200&amp;straddle=false" xr:uid="{022F5746-7E33-4146-8510-BBCE39B346AB}"/>
    <hyperlink ref="A45" r:id="rId80" display="https://finance.yahoo.com/quote/SPY211020P00442000?p=SPY211020P00442000" xr:uid="{B775DBE9-F376-4E12-A504-F7D4E552F17F}"/>
    <hyperlink ref="C45" r:id="rId81" display="https://finance.yahoo.com/quote/SPY/options?date=1634688000&amp;straddle=false" xr:uid="{14E9EB32-5C62-4BEC-A30B-1C2603F3EFC7}"/>
    <hyperlink ref="A46" r:id="rId82" display="https://finance.yahoo.com/quote/SPY211022P00442000?p=SPY211022P00442000" xr:uid="{DAF6F242-79A5-4557-9C62-9933FD53189A}"/>
    <hyperlink ref="C46" r:id="rId83" display="https://finance.yahoo.com/quote/SPY/options?date=1634860800&amp;straddle=false" xr:uid="{13145585-7368-4A70-BE7F-D5A7E2FACCCA}"/>
    <hyperlink ref="A47" r:id="rId84" display="https://finance.yahoo.com/quote/SPY211029P00442000?p=SPY211029P00442000" xr:uid="{FCEE712C-5E55-431C-A1E7-F9D03AAEB76A}"/>
    <hyperlink ref="C47" r:id="rId85" display="https://finance.yahoo.com/quote/SPY/options?date=1635465600&amp;straddle=false" xr:uid="{D8B64A1E-0E42-498C-9CEF-69E9DC4B6688}"/>
    <hyperlink ref="A48" r:id="rId86" display="https://finance.yahoo.com/quote/SPY211119P00442000?p=SPY211119P00442000" xr:uid="{C9CF4FBD-0E03-40AD-9EA9-FE4BCEBC57C6}"/>
    <hyperlink ref="C48" r:id="rId87" display="https://finance.yahoo.com/quote/SPY/options?date=1637280000&amp;straddle=false" xr:uid="{9F153C78-8239-4C18-9FB0-C2D215C08039}"/>
    <hyperlink ref="A49" r:id="rId88" display="https://finance.yahoo.com/quote/SPY211217P00442000?p=SPY211217P00442000" xr:uid="{99E9B9EE-636D-4C29-9E3B-6F920DFD4DC8}"/>
    <hyperlink ref="C49" r:id="rId89" display="https://finance.yahoo.com/quote/SPY/options?date=1639699200&amp;straddle=false" xr:uid="{2CBF11A0-7D5C-4970-8D8F-8F945FC69605}"/>
    <hyperlink ref="A50" r:id="rId90" display="https://finance.yahoo.com/quote/SPY211231P00442000?p=SPY211231P00442000" xr:uid="{20004514-CBCA-48AB-A996-F93E70AC2F5B}"/>
    <hyperlink ref="C50" r:id="rId91" display="https://finance.yahoo.com/quote/SPY/options?date=1640908800&amp;straddle=false" xr:uid="{E392325D-AD2C-4EBC-A256-7320F3D5AA47}"/>
    <hyperlink ref="A51" r:id="rId92" display="https://finance.yahoo.com/quote/SPY220121P00442000?p=SPY220121P00442000" xr:uid="{B603E377-6FA5-4503-89B0-251D180F9719}"/>
    <hyperlink ref="C51" r:id="rId93" display="https://finance.yahoo.com/quote/SPY/options?date=1642723200&amp;straddle=false" xr:uid="{4753A72F-FFC1-41EF-894E-C061133D576C}"/>
    <hyperlink ref="A52" r:id="rId94" display="https://finance.yahoo.com/quote/SPY220218P00442000?p=SPY220218P00442000" xr:uid="{4F57214F-AB4A-472C-AAB9-39BB3C21DFA8}"/>
    <hyperlink ref="C52" r:id="rId95" display="https://finance.yahoo.com/quote/SPY/options?date=1645142400&amp;straddle=false" xr:uid="{BAEEC056-BD7B-420E-BC45-60E5946BE348}"/>
    <hyperlink ref="A53" r:id="rId96" display="https://finance.yahoo.com/quote/SPY220318P00442000?p=SPY220318P00442000" xr:uid="{ABDCB1A1-DBF2-4750-8E8B-C363A49F413D}"/>
    <hyperlink ref="C53" r:id="rId97" display="https://finance.yahoo.com/quote/SPY/options?date=1647561600&amp;straddle=false" xr:uid="{F4BA0353-0B9E-4550-AA29-CC74B9EC52E8}"/>
    <hyperlink ref="A54" r:id="rId98" display="https://finance.yahoo.com/quote/SPY220331P00442000?p=SPY220331P00442000" xr:uid="{BBD1D586-A10E-473C-8F2B-D8AD57C40443}"/>
    <hyperlink ref="C54" r:id="rId99" display="https://finance.yahoo.com/quote/SPY/options?date=1648684800&amp;straddle=false" xr:uid="{7C70464F-C052-41C4-A043-CB267BBBE243}"/>
    <hyperlink ref="A55" r:id="rId100" display="https://finance.yahoo.com/quote/SPY220617P00442000?p=SPY220617P00442000" xr:uid="{CC49E7A9-B61F-44EF-8D96-DD0D3ED0B0B2}"/>
    <hyperlink ref="C55" r:id="rId101" display="https://finance.yahoo.com/quote/SPY/options?date=1655424000&amp;straddle=false" xr:uid="{FB9E5EE1-22F5-4B1F-8B70-1CAD266072CE}"/>
    <hyperlink ref="A56" r:id="rId102" display="https://finance.yahoo.com/quote/SPY220630P00442000?p=SPY220630P00442000" xr:uid="{A92FCDFA-1774-443E-9844-AED48C733C60}"/>
    <hyperlink ref="C56" r:id="rId103" display="https://finance.yahoo.com/quote/SPY/options?date=1656547200&amp;straddle=false" xr:uid="{3E60AC9D-F52A-45F4-AA4A-91D7BCFFB8E6}"/>
    <hyperlink ref="A57" r:id="rId104" display="https://finance.yahoo.com/quote/SPY220916P00442000?p=SPY220916P00442000" xr:uid="{57C58291-89CC-4A4C-A7F0-CCE24D6E4F53}"/>
    <hyperlink ref="C57" r:id="rId105" display="https://finance.yahoo.com/quote/SPY/options?date=1663286400&amp;straddle=false" xr:uid="{3BF6B710-089D-4446-8842-97F9224A99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Call Skew</vt:lpstr>
      <vt:lpstr>Put Skew</vt:lpstr>
      <vt:lpstr>Skew</vt:lpstr>
      <vt:lpstr>K426</vt:lpstr>
      <vt:lpstr>K430</vt:lpstr>
      <vt:lpstr>K434</vt:lpstr>
      <vt:lpstr>K438</vt:lpstr>
      <vt:lpstr>K442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Fang</dc:creator>
  <cp:lastModifiedBy>Prabin Pandey</cp:lastModifiedBy>
  <dcterms:created xsi:type="dcterms:W3CDTF">2020-09-22T03:13:16Z</dcterms:created>
  <dcterms:modified xsi:type="dcterms:W3CDTF">2026-02-23T16:56:03Z</dcterms:modified>
</cp:coreProperties>
</file>