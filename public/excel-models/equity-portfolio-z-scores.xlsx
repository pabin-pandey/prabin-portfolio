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1012" documentId="8_{983B3AF3-2F32-4FF6-B6A9-0D3F83ADE8D4}" xr6:coauthVersionLast="47" xr6:coauthVersionMax="47" xr10:uidLastSave="{BE6F2954-D975-4996-BA64-EEA9C7C6470A}"/>
  <bookViews>
    <workbookView xWindow="-110" yWindow="-110" windowWidth="19420" windowHeight="11500" activeTab="1" xr2:uid="{00000000-000D-0000-FFFF-FFFF00000000}"/>
  </bookViews>
  <sheets>
    <sheet name="Performance Measures" sheetId="4" r:id="rId1"/>
    <sheet name="Factor Exposures" sheetId="1" r:id="rId2"/>
    <sheet name="Factor Groups" sheetId="3" r:id="rId3"/>
  </sheets>
  <definedNames>
    <definedName name="_xlnm._FilterDatabase" localSheetId="1" hidden="1">'Factor Exposures'!$B$2:$N$12</definedName>
    <definedName name="_xlnm._FilterDatabase" localSheetId="2" hidden="1">'Factor Groups'!$B$2:$J$12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I6" i="1"/>
  <c r="J16" i="3"/>
  <c r="I16" i="3"/>
  <c r="H16" i="3"/>
  <c r="G16" i="3"/>
  <c r="F16" i="3"/>
  <c r="E16" i="3"/>
  <c r="D16" i="3"/>
  <c r="J15" i="3"/>
  <c r="I15" i="3"/>
  <c r="H15" i="3"/>
  <c r="G15" i="3"/>
  <c r="F15" i="3"/>
  <c r="E15" i="3"/>
  <c r="D15" i="3"/>
  <c r="N16" i="1"/>
  <c r="M16" i="1"/>
  <c r="L16" i="1"/>
  <c r="K16" i="1"/>
  <c r="J16" i="1"/>
  <c r="I16" i="1"/>
  <c r="H16" i="1"/>
  <c r="M11" i="1" s="1"/>
  <c r="G16" i="1"/>
  <c r="L6" i="1" s="1"/>
  <c r="F16" i="1"/>
  <c r="K12" i="1" s="1"/>
  <c r="E16" i="1"/>
  <c r="D16" i="1"/>
  <c r="I11" i="1" s="1"/>
  <c r="H15" i="1"/>
  <c r="G15" i="1"/>
  <c r="F15" i="1"/>
  <c r="E15" i="1"/>
  <c r="J10" i="1" s="1"/>
  <c r="D15" i="1"/>
  <c r="M12" i="1"/>
  <c r="L12" i="1"/>
  <c r="L11" i="1"/>
  <c r="L10" i="1"/>
  <c r="K10" i="1"/>
  <c r="L9" i="1"/>
  <c r="M8" i="1"/>
  <c r="L8" i="1"/>
  <c r="M7" i="1"/>
  <c r="L7" i="1"/>
  <c r="M6" i="1"/>
  <c r="K6" i="1"/>
  <c r="L5" i="1"/>
  <c r="L4" i="1"/>
  <c r="L3" i="1"/>
  <c r="L15" i="1" s="1"/>
  <c r="C19" i="4"/>
  <c r="C20" i="4"/>
  <c r="C18" i="4"/>
  <c r="C17" i="4"/>
  <c r="C16" i="4"/>
  <c r="C15" i="4"/>
  <c r="C14" i="4"/>
  <c r="C13" i="4"/>
  <c r="C12" i="4"/>
  <c r="C11" i="4"/>
  <c r="M9" i="1" l="1"/>
  <c r="M10" i="1"/>
  <c r="M4" i="1"/>
  <c r="M3" i="1"/>
  <c r="M5" i="1"/>
  <c r="K5" i="1"/>
  <c r="K9" i="1"/>
  <c r="K3" i="1"/>
  <c r="K11" i="1"/>
  <c r="K7" i="1"/>
  <c r="K4" i="1"/>
  <c r="K8" i="1"/>
  <c r="I4" i="1"/>
  <c r="J5" i="1"/>
  <c r="J8" i="1"/>
  <c r="J11" i="1"/>
  <c r="N11" i="1" s="1"/>
  <c r="J9" i="1"/>
  <c r="J12" i="1"/>
  <c r="J3" i="1"/>
  <c r="J6" i="1"/>
  <c r="J4" i="1"/>
  <c r="J7" i="1"/>
  <c r="N4" i="1"/>
  <c r="I9" i="1"/>
  <c r="N9" i="1" s="1"/>
  <c r="I3" i="1"/>
  <c r="I10" i="1"/>
  <c r="N10" i="1" s="1"/>
  <c r="I8" i="1"/>
  <c r="I7" i="1"/>
  <c r="I5" i="1"/>
  <c r="N5" i="1" s="1"/>
  <c r="I12" i="1"/>
  <c r="M15" i="1" l="1"/>
  <c r="K15" i="1"/>
  <c r="J15" i="1"/>
  <c r="N12" i="1"/>
  <c r="N8" i="1"/>
  <c r="I15" i="1"/>
  <c r="N6" i="1"/>
  <c r="N7" i="1"/>
  <c r="N15" i="1" l="1"/>
</calcChain>
</file>

<file path=xl/sharedStrings.xml><?xml version="1.0" encoding="utf-8"?>
<sst xmlns="http://schemas.openxmlformats.org/spreadsheetml/2006/main" count="114" uniqueCount="77">
  <si>
    <t>Ticker</t>
  </si>
  <si>
    <t>AIG</t>
  </si>
  <si>
    <t>C</t>
  </si>
  <si>
    <t>XOM</t>
  </si>
  <si>
    <t>GE</t>
  </si>
  <si>
    <t>INTC</t>
  </si>
  <si>
    <t>IBM</t>
  </si>
  <si>
    <t>PFE</t>
  </si>
  <si>
    <t>WMT</t>
  </si>
  <si>
    <t>MSFT</t>
  </si>
  <si>
    <t>CSCO</t>
  </si>
  <si>
    <t>S&amp;P500</t>
  </si>
  <si>
    <t>SD</t>
  </si>
  <si>
    <t>American International Group, Inc. (AIG)</t>
  </si>
  <si>
    <t>Citigroup Inc. (C)</t>
  </si>
  <si>
    <t>Exxon Mobil Corporation (XOM)</t>
  </si>
  <si>
    <t>General Electric Company (GE)</t>
  </si>
  <si>
    <t>Intel Corporation (INTC)</t>
  </si>
  <si>
    <t>International Business Machines Corporation (IBM)</t>
  </si>
  <si>
    <t>Pfizer Inc. (PFE)</t>
  </si>
  <si>
    <t>Wal-Mart Stores Inc. (WMT)</t>
  </si>
  <si>
    <t>Microsoft Corporation (MSFT)</t>
  </si>
  <si>
    <t>Cisco Systems, Inc. (CSCO)</t>
  </si>
  <si>
    <t>Company Name</t>
  </si>
  <si>
    <t>P/E</t>
  </si>
  <si>
    <t>P/B</t>
  </si>
  <si>
    <t>D/E</t>
  </si>
  <si>
    <t>Size</t>
  </si>
  <si>
    <t>M12M = Average monthly stock return over the previous 12 months</t>
  </si>
  <si>
    <t>Momentum</t>
  </si>
  <si>
    <t>Z-score P/E</t>
  </si>
  <si>
    <t>Z-score P/B</t>
  </si>
  <si>
    <t>Z-score D/E</t>
  </si>
  <si>
    <t>Z-score Size</t>
  </si>
  <si>
    <t>Z-score M12M</t>
  </si>
  <si>
    <t>GPM</t>
  </si>
  <si>
    <t>P/S</t>
  </si>
  <si>
    <t>Gross Profit Margin</t>
  </si>
  <si>
    <t>ICR</t>
  </si>
  <si>
    <t>Interest Coverage Ratio</t>
  </si>
  <si>
    <t>Value Composite</t>
  </si>
  <si>
    <t>Profitability Composite</t>
  </si>
  <si>
    <t>Financial Soundness Composite</t>
  </si>
  <si>
    <t>Technical Composite</t>
  </si>
  <si>
    <t>NA</t>
  </si>
  <si>
    <t>Rb</t>
  </si>
  <si>
    <t>vol(Rb)</t>
  </si>
  <si>
    <t>Beta</t>
  </si>
  <si>
    <t>Rp</t>
  </si>
  <si>
    <t>vol(Rp)</t>
  </si>
  <si>
    <t>Correl</t>
  </si>
  <si>
    <t>Performance Measures</t>
  </si>
  <si>
    <t>Benchmark</t>
  </si>
  <si>
    <t>Portfolio</t>
  </si>
  <si>
    <t>Inputs</t>
  </si>
  <si>
    <t>Correlation</t>
  </si>
  <si>
    <t>Risk-free Rate</t>
  </si>
  <si>
    <t>Ratios</t>
  </si>
  <si>
    <t>Sharpe Ratio</t>
  </si>
  <si>
    <t>Treynor Ratio</t>
  </si>
  <si>
    <t>Jensen's Alpha</t>
  </si>
  <si>
    <t>M² (Modigliani)</t>
  </si>
  <si>
    <t>Information Ratio</t>
  </si>
  <si>
    <t>Tracking Error</t>
  </si>
  <si>
    <t>Appraisal Ratio</t>
  </si>
  <si>
    <t>Sortino Ratio</t>
  </si>
  <si>
    <t>Factor Exposures Analysis</t>
  </si>
  <si>
    <t>Aggregate Z-score</t>
  </si>
  <si>
    <t>Mean</t>
  </si>
  <si>
    <t>Note:</t>
  </si>
  <si>
    <t>M12M = Average monthly stock return over the previous 12 months. Negative Z-scores for P/E, P/B, D/E indicate value (lower is better).</t>
  </si>
  <si>
    <t>Factor Groups Analysis</t>
  </si>
  <si>
    <t>Factor Group Legend:</t>
  </si>
  <si>
    <t>Value Composite (P/E, P/B, P/S)</t>
  </si>
  <si>
    <t>Profitability (GPM)</t>
  </si>
  <si>
    <t>Financial Soundness (ICR, D/E)</t>
  </si>
  <si>
    <t>Technical (Momentum)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</si>
</sst>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D9D9D9"/>
      </bottom>
      <diagonal/>
    </border>
    <border>
      <left style="medium">
        <color auto="1"/>
      </left>
      <right/>
      <top style="thin">
        <color rgb="FFD9D9D9"/>
      </top>
      <bottom style="thin">
        <color rgb="FFD9D9D9"/>
      </bottom>
      <diagonal/>
    </border>
    <border>
      <left style="medium">
        <color auto="1"/>
      </left>
      <right/>
      <top style="thin">
        <color rgb="FFD9D9D9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D9D9D9"/>
      </bottom>
      <diagonal/>
    </border>
    <border>
      <left/>
      <right style="medium">
        <color auto="1"/>
      </right>
      <top style="thin">
        <color rgb="FFD9D9D9"/>
      </top>
      <bottom style="thin">
        <color rgb="FFD9D9D9"/>
      </bottom>
      <diagonal/>
    </border>
    <border>
      <left/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4" borderId="0" xfId="0" applyFill="1"/>
    <xf numFmtId="0" fontId="0" fillId="5" borderId="0" xfId="0" applyFill="1"/>
    <xf numFmtId="0" fontId="2" fillId="0" borderId="0" xfId="0" applyFont="1"/>
    <xf numFmtId="0" fontId="5" fillId="0" borderId="0" xfId="0" applyFont="1"/>
    <xf numFmtId="0" fontId="2" fillId="5" borderId="0" xfId="0" applyFont="1" applyFill="1"/>
    <xf numFmtId="0" fontId="0" fillId="13" borderId="0" xfId="0" applyFill="1"/>
    <xf numFmtId="0" fontId="2" fillId="13" borderId="0" xfId="0" applyFont="1" applyFill="1"/>
    <xf numFmtId="0" fontId="2" fillId="4" borderId="0" xfId="0" applyFont="1" applyFill="1"/>
    <xf numFmtId="0" fontId="0" fillId="14" borderId="0" xfId="0" applyFill="1"/>
    <xf numFmtId="0" fontId="2" fillId="14" borderId="0" xfId="0" applyFont="1" applyFill="1"/>
    <xf numFmtId="0" fontId="0" fillId="3" borderId="1" xfId="0" applyFill="1" applyBorder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 applyAlignment="1">
      <alignment horizontal="right"/>
    </xf>
    <xf numFmtId="0" fontId="3" fillId="2" borderId="4" xfId="0" applyFont="1" applyFill="1" applyBorder="1"/>
    <xf numFmtId="0" fontId="1" fillId="3" borderId="5" xfId="0" applyFont="1" applyFill="1" applyBorder="1"/>
    <xf numFmtId="0" fontId="0" fillId="3" borderId="5" xfId="0" applyFill="1" applyBorder="1"/>
    <xf numFmtId="0" fontId="4" fillId="2" borderId="5" xfId="0" applyFont="1" applyFill="1" applyBorder="1"/>
    <xf numFmtId="0" fontId="0" fillId="3" borderId="6" xfId="0" applyFill="1" applyBorder="1"/>
    <xf numFmtId="0" fontId="0" fillId="2" borderId="7" xfId="0" applyFill="1" applyBorder="1"/>
    <xf numFmtId="10" fontId="0" fillId="4" borderId="8" xfId="0" applyNumberForma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0" fillId="5" borderId="8" xfId="0" applyNumberFormat="1" applyFill="1" applyBorder="1" applyAlignment="1">
      <alignment horizontal="center"/>
    </xf>
    <xf numFmtId="10" fontId="0" fillId="5" borderId="8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 wrapText="1"/>
    </xf>
    <xf numFmtId="0" fontId="0" fillId="10" borderId="10" xfId="0" applyFill="1" applyBorder="1"/>
    <xf numFmtId="2" fontId="0" fillId="10" borderId="10" xfId="0" applyNumberFormat="1" applyFill="1" applyBorder="1" applyAlignment="1">
      <alignment horizontal="center"/>
    </xf>
    <xf numFmtId="10" fontId="0" fillId="10" borderId="10" xfId="0" applyNumberFormat="1" applyFill="1" applyBorder="1" applyAlignment="1">
      <alignment horizontal="center"/>
    </xf>
    <xf numFmtId="2" fontId="0" fillId="8" borderId="10" xfId="0" applyNumberFormat="1" applyFill="1" applyBorder="1" applyAlignment="1">
      <alignment horizontal="center"/>
    </xf>
    <xf numFmtId="0" fontId="0" fillId="11" borderId="10" xfId="0" applyFill="1" applyBorder="1"/>
    <xf numFmtId="2" fontId="0" fillId="11" borderId="10" xfId="0" applyNumberFormat="1" applyFill="1" applyBorder="1" applyAlignment="1">
      <alignment horizontal="center"/>
    </xf>
    <xf numFmtId="10" fontId="0" fillId="11" borderId="10" xfId="0" applyNumberFormat="1" applyFill="1" applyBorder="1" applyAlignment="1">
      <alignment horizontal="center"/>
    </xf>
    <xf numFmtId="0" fontId="0" fillId="0" borderId="10" xfId="0" applyBorder="1"/>
    <xf numFmtId="2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12" borderId="10" xfId="0" applyFont="1" applyFill="1" applyBorder="1"/>
    <xf numFmtId="2" fontId="0" fillId="12" borderId="10" xfId="0" applyNumberFormat="1" applyFill="1" applyBorder="1" applyAlignment="1">
      <alignment horizontal="center"/>
    </xf>
    <xf numFmtId="10" fontId="0" fillId="12" borderId="10" xfId="0" applyNumberFormat="1" applyFill="1" applyBorder="1" applyAlignment="1">
      <alignment horizontal="center"/>
    </xf>
    <xf numFmtId="0" fontId="0" fillId="12" borderId="10" xfId="0" applyFill="1" applyBorder="1"/>
    <xf numFmtId="0" fontId="0" fillId="3" borderId="10" xfId="0" applyFill="1" applyBorder="1"/>
    <xf numFmtId="2" fontId="0" fillId="3" borderId="10" xfId="0" applyNumberFormat="1" applyFill="1" applyBorder="1" applyAlignment="1">
      <alignment horizontal="center"/>
    </xf>
    <xf numFmtId="10" fontId="0" fillId="3" borderId="10" xfId="0" applyNumberFormat="1" applyFill="1" applyBorder="1" applyAlignment="1">
      <alignment horizontal="center"/>
    </xf>
    <xf numFmtId="0" fontId="0" fillId="2" borderId="11" xfId="0" applyFill="1" applyBorder="1"/>
    <xf numFmtId="0" fontId="0" fillId="2" borderId="11" xfId="0" applyFill="1" applyBorder="1" applyAlignment="1">
      <alignment horizontal="center"/>
    </xf>
    <xf numFmtId="0" fontId="0" fillId="3" borderId="12" xfId="0" applyFill="1" applyBorder="1"/>
    <xf numFmtId="2" fontId="0" fillId="3" borderId="12" xfId="0" applyNumberFormat="1" applyFill="1" applyBorder="1" applyAlignment="1">
      <alignment horizontal="center"/>
    </xf>
    <xf numFmtId="10" fontId="0" fillId="3" borderId="12" xfId="0" applyNumberFormat="1" applyFill="1" applyBorder="1" applyAlignment="1">
      <alignment horizontal="center"/>
    </xf>
    <xf numFmtId="0" fontId="3" fillId="2" borderId="13" xfId="0" applyFont="1" applyFill="1" applyBorder="1"/>
    <xf numFmtId="0" fontId="1" fillId="3" borderId="14" xfId="0" applyFont="1" applyFill="1" applyBorder="1" applyAlignment="1">
      <alignment horizontal="center"/>
    </xf>
    <xf numFmtId="0" fontId="1" fillId="10" borderId="14" xfId="0" applyFont="1" applyFill="1" applyBorder="1"/>
    <xf numFmtId="0" fontId="1" fillId="11" borderId="14" xfId="0" applyFont="1" applyFill="1" applyBorder="1"/>
    <xf numFmtId="0" fontId="0" fillId="0" borderId="14" xfId="0" applyBorder="1"/>
    <xf numFmtId="0" fontId="1" fillId="12" borderId="14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0" fillId="2" borderId="16" xfId="0" applyFill="1" applyBorder="1"/>
    <xf numFmtId="0" fontId="4" fillId="7" borderId="17" xfId="0" applyFont="1" applyFill="1" applyBorder="1" applyAlignment="1">
      <alignment horizontal="center" vertical="center" wrapText="1"/>
    </xf>
    <xf numFmtId="2" fontId="0" fillId="9" borderId="17" xfId="0" applyNumberFormat="1" applyFill="1" applyBorder="1" applyAlignment="1">
      <alignment horizontal="center"/>
    </xf>
    <xf numFmtId="0" fontId="0" fillId="0" borderId="17" xfId="0" applyBorder="1"/>
    <xf numFmtId="0" fontId="0" fillId="12" borderId="17" xfId="0" applyFill="1" applyBorder="1"/>
    <xf numFmtId="2" fontId="0" fillId="3" borderId="17" xfId="0" applyNumberFormat="1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0" fontId="1" fillId="5" borderId="10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65" fontId="0" fillId="10" borderId="10" xfId="0" applyNumberFormat="1" applyFill="1" applyBorder="1" applyAlignment="1">
      <alignment horizontal="center"/>
    </xf>
    <xf numFmtId="165" fontId="0" fillId="11" borderId="10" xfId="0" applyNumberForma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2" fontId="2" fillId="11" borderId="10" xfId="0" applyNumberFormat="1" applyFont="1" applyFill="1" applyBorder="1" applyAlignment="1">
      <alignment horizontal="center"/>
    </xf>
    <xf numFmtId="165" fontId="0" fillId="12" borderId="10" xfId="0" applyNumberFormat="1" applyFill="1" applyBorder="1" applyAlignment="1">
      <alignment horizontal="center"/>
    </xf>
    <xf numFmtId="165" fontId="0" fillId="3" borderId="10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165" fontId="0" fillId="3" borderId="12" xfId="0" applyNumberFormat="1" applyFill="1" applyBorder="1" applyAlignment="1">
      <alignment horizontal="center"/>
    </xf>
    <xf numFmtId="0" fontId="0" fillId="2" borderId="16" xfId="0" applyFill="1" applyBorder="1" applyAlignment="1">
      <alignment horizontal="center" vertical="center" wrapText="1"/>
    </xf>
    <xf numFmtId="0" fontId="1" fillId="14" borderId="17" xfId="0" applyFont="1" applyFill="1" applyBorder="1" applyAlignment="1">
      <alignment horizontal="center" vertical="center"/>
    </xf>
    <xf numFmtId="10" fontId="0" fillId="10" borderId="17" xfId="0" applyNumberFormat="1" applyFill="1" applyBorder="1" applyAlignment="1">
      <alignment horizontal="center"/>
    </xf>
    <xf numFmtId="10" fontId="0" fillId="11" borderId="17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10" fontId="0" fillId="12" borderId="17" xfId="0" applyNumberFormat="1" applyFill="1" applyBorder="1" applyAlignment="1">
      <alignment horizontal="center"/>
    </xf>
    <xf numFmtId="10" fontId="0" fillId="3" borderId="17" xfId="0" applyNumberFormat="1" applyFill="1" applyBorder="1" applyAlignment="1">
      <alignment horizontal="center"/>
    </xf>
    <xf numFmtId="10" fontId="0" fillId="3" borderId="18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107392-024F-462C-8DD1-FB02E0C3946F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258E-EB25-4DF6-B99B-7AB5DA1879B4}">
  <dimension ref="A1:C20"/>
  <sheetViews>
    <sheetView workbookViewId="0">
      <pane ySplit="1" topLeftCell="A2" activePane="bottomLeft" state="frozen"/>
      <selection pane="bottomLeft" activeCell="B10" sqref="B10"/>
    </sheetView>
  </sheetViews>
  <sheetFormatPr defaultRowHeight="14.5" x14ac:dyDescent="0.35"/>
  <cols>
    <col min="1" max="1" width="16.36328125" customWidth="1"/>
    <col min="2" max="2" width="20" customWidth="1"/>
    <col min="3" max="3" width="14.54296875" customWidth="1"/>
  </cols>
  <sheetData>
    <row r="1" spans="1:3" ht="18.5" x14ac:dyDescent="0.45">
      <c r="A1" s="17" t="s">
        <v>51</v>
      </c>
      <c r="B1" s="15"/>
      <c r="C1" s="22"/>
    </row>
    <row r="2" spans="1:3" x14ac:dyDescent="0.35">
      <c r="A2" s="18" t="s">
        <v>52</v>
      </c>
      <c r="B2" s="13" t="s">
        <v>45</v>
      </c>
      <c r="C2" s="23">
        <v>7.0000000000000007E-2</v>
      </c>
    </row>
    <row r="3" spans="1:3" x14ac:dyDescent="0.35">
      <c r="A3" s="19"/>
      <c r="B3" s="13" t="s">
        <v>46</v>
      </c>
      <c r="C3" s="23">
        <v>0.15</v>
      </c>
    </row>
    <row r="4" spans="1:3" x14ac:dyDescent="0.35">
      <c r="A4" s="19"/>
      <c r="B4" s="13" t="s">
        <v>47</v>
      </c>
      <c r="C4" s="24">
        <v>1</v>
      </c>
    </row>
    <row r="5" spans="1:3" x14ac:dyDescent="0.35">
      <c r="A5" s="18" t="s">
        <v>53</v>
      </c>
      <c r="B5" s="13" t="s">
        <v>48</v>
      </c>
      <c r="C5" s="23">
        <v>0.1</v>
      </c>
    </row>
    <row r="6" spans="1:3" x14ac:dyDescent="0.35">
      <c r="A6" s="19"/>
      <c r="B6" s="13" t="s">
        <v>49</v>
      </c>
      <c r="C6" s="23">
        <v>0.15</v>
      </c>
    </row>
    <row r="7" spans="1:3" x14ac:dyDescent="0.35">
      <c r="A7" s="19"/>
      <c r="B7" s="13" t="s">
        <v>47</v>
      </c>
      <c r="C7" s="24">
        <v>1.2</v>
      </c>
    </row>
    <row r="8" spans="1:3" x14ac:dyDescent="0.35">
      <c r="A8" s="18" t="s">
        <v>54</v>
      </c>
      <c r="B8" s="13" t="s">
        <v>55</v>
      </c>
      <c r="C8" s="24">
        <v>0.5</v>
      </c>
    </row>
    <row r="9" spans="1:3" x14ac:dyDescent="0.35">
      <c r="A9" s="19"/>
      <c r="B9" s="13" t="s">
        <v>56</v>
      </c>
      <c r="C9" s="23">
        <v>0.02</v>
      </c>
    </row>
    <row r="10" spans="1:3" x14ac:dyDescent="0.35">
      <c r="A10" s="20" t="s">
        <v>57</v>
      </c>
      <c r="B10" s="14" t="s">
        <v>50</v>
      </c>
      <c r="C10" s="25">
        <v>0.5</v>
      </c>
    </row>
    <row r="11" spans="1:3" x14ac:dyDescent="0.35">
      <c r="A11" s="18" t="s">
        <v>52</v>
      </c>
      <c r="B11" s="13" t="s">
        <v>58</v>
      </c>
      <c r="C11" s="26">
        <f>(C2-C9)/C3</f>
        <v>0.33333333333333337</v>
      </c>
    </row>
    <row r="12" spans="1:3" x14ac:dyDescent="0.35">
      <c r="A12" s="19"/>
      <c r="B12" s="13" t="s">
        <v>59</v>
      </c>
      <c r="C12" s="27">
        <f>(C2-C9)/C4</f>
        <v>0.05</v>
      </c>
    </row>
    <row r="13" spans="1:3" x14ac:dyDescent="0.35">
      <c r="A13" s="18" t="s">
        <v>53</v>
      </c>
      <c r="B13" s="13" t="s">
        <v>58</v>
      </c>
      <c r="C13" s="26">
        <f>(C5-C9)/C6</f>
        <v>0.53333333333333333</v>
      </c>
    </row>
    <row r="14" spans="1:3" x14ac:dyDescent="0.35">
      <c r="A14" s="19"/>
      <c r="B14" s="13" t="s">
        <v>59</v>
      </c>
      <c r="C14" s="27">
        <f>(C5-C9)/C7</f>
        <v>6.6666666666666666E-2</v>
      </c>
    </row>
    <row r="15" spans="1:3" x14ac:dyDescent="0.35">
      <c r="A15" s="19"/>
      <c r="B15" s="13" t="s">
        <v>60</v>
      </c>
      <c r="C15" s="27">
        <f>C5-C9-C7*(C2-C9)</f>
        <v>2.0000000000000004E-2</v>
      </c>
    </row>
    <row r="16" spans="1:3" x14ac:dyDescent="0.35">
      <c r="A16" s="19"/>
      <c r="B16" s="13" t="s">
        <v>61</v>
      </c>
      <c r="C16" s="27">
        <f>(C13-C11)*C3+C9</f>
        <v>4.9999999999999989E-2</v>
      </c>
    </row>
    <row r="17" spans="1:3" x14ac:dyDescent="0.35">
      <c r="A17" s="19"/>
      <c r="B17" s="13" t="s">
        <v>62</v>
      </c>
      <c r="C17" s="26">
        <f>(C5-C2)/SQRT(C6^2+C3^2-2*C8*C6*C3)</f>
        <v>0.2</v>
      </c>
    </row>
    <row r="18" spans="1:3" x14ac:dyDescent="0.35">
      <c r="A18" s="19"/>
      <c r="B18" s="13" t="s">
        <v>63</v>
      </c>
      <c r="C18" s="27">
        <f>SQRT(C6^2+C3^2-2*C8*C6*C3)</f>
        <v>0.15</v>
      </c>
    </row>
    <row r="19" spans="1:3" x14ac:dyDescent="0.35">
      <c r="A19" s="19"/>
      <c r="B19" s="13" t="s">
        <v>64</v>
      </c>
      <c r="C19" s="26">
        <f>C15/C18</f>
        <v>0.13333333333333336</v>
      </c>
    </row>
    <row r="20" spans="1:3" ht="15" thickBot="1" x14ac:dyDescent="0.4">
      <c r="A20" s="21"/>
      <c r="B20" s="16" t="s">
        <v>65</v>
      </c>
      <c r="C20" s="28">
        <f>(C5-C9)/(C6/SQRT(2))</f>
        <v>0.7542472332656508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9"/>
  <sheetViews>
    <sheetView tabSelected="1" topLeftCell="H1" zoomScale="120" zoomScaleNormal="120" workbookViewId="0">
      <pane ySplit="2" topLeftCell="A3" activePane="bottomLeft" state="frozen"/>
      <selection pane="bottomLeft" activeCell="H6" sqref="H6"/>
    </sheetView>
  </sheetViews>
  <sheetFormatPr defaultRowHeight="14.5" x14ac:dyDescent="0.35"/>
  <cols>
    <col min="2" max="2" width="10" customWidth="1"/>
    <col min="3" max="3" width="50.90625" customWidth="1"/>
    <col min="4" max="8" width="12.7265625" customWidth="1"/>
    <col min="9" max="14" width="15.453125" customWidth="1"/>
  </cols>
  <sheetData>
    <row r="1" spans="2:14" ht="18.5" x14ac:dyDescent="0.45">
      <c r="B1" s="54" t="s">
        <v>66</v>
      </c>
      <c r="C1" s="49"/>
      <c r="D1" s="49"/>
      <c r="E1" s="49"/>
      <c r="F1" s="49"/>
      <c r="G1" s="49"/>
      <c r="H1" s="49"/>
      <c r="I1" s="50">
        <v>-1</v>
      </c>
      <c r="J1" s="49"/>
      <c r="K1" s="49"/>
      <c r="L1" s="49"/>
      <c r="M1" s="49"/>
      <c r="N1" s="62"/>
    </row>
    <row r="2" spans="2:14" ht="29" x14ac:dyDescent="0.35">
      <c r="B2" s="55" t="s">
        <v>0</v>
      </c>
      <c r="C2" s="29" t="s">
        <v>23</v>
      </c>
      <c r="D2" s="30" t="s">
        <v>24</v>
      </c>
      <c r="E2" s="30" t="s">
        <v>25</v>
      </c>
      <c r="F2" s="30" t="s">
        <v>26</v>
      </c>
      <c r="G2" s="30" t="s">
        <v>27</v>
      </c>
      <c r="H2" s="30" t="s">
        <v>29</v>
      </c>
      <c r="I2" s="31" t="s">
        <v>30</v>
      </c>
      <c r="J2" s="31" t="s">
        <v>31</v>
      </c>
      <c r="K2" s="31" t="s">
        <v>32</v>
      </c>
      <c r="L2" s="31" t="s">
        <v>33</v>
      </c>
      <c r="M2" s="31" t="s">
        <v>34</v>
      </c>
      <c r="N2" s="63" t="s">
        <v>67</v>
      </c>
    </row>
    <row r="3" spans="2:14" x14ac:dyDescent="0.35">
      <c r="B3" s="56" t="s">
        <v>1</v>
      </c>
      <c r="C3" s="32" t="s">
        <v>13</v>
      </c>
      <c r="D3" s="33">
        <v>23.27</v>
      </c>
      <c r="E3" s="33">
        <v>2.56</v>
      </c>
      <c r="F3" s="33">
        <v>8.5</v>
      </c>
      <c r="G3" s="33">
        <v>11.93</v>
      </c>
      <c r="H3" s="34">
        <v>-0.94</v>
      </c>
      <c r="I3" s="35">
        <f>-1*(D3-$D$15)/$D$16</f>
        <v>0.47767248593886164</v>
      </c>
      <c r="J3" s="35">
        <f>-1*(E3-$E$15)/$E$16</f>
        <v>0.99890903575742707</v>
      </c>
      <c r="K3" s="35">
        <f>-1*(F3-$F$15)/$F$16</f>
        <v>-1.1680410050430456</v>
      </c>
      <c r="L3" s="35">
        <f>(G3-$G$15)/$G$16</f>
        <v>-1.4599616141699043</v>
      </c>
      <c r="M3" s="35">
        <f>(H3-$H$15)/$H$16</f>
        <v>-1.1802182490010209</v>
      </c>
      <c r="N3" s="64">
        <f>AVERAGE(I3:M3)</f>
        <v>-0.46632786930353642</v>
      </c>
    </row>
    <row r="4" spans="2:14" x14ac:dyDescent="0.35">
      <c r="B4" s="57" t="s">
        <v>10</v>
      </c>
      <c r="C4" s="36" t="s">
        <v>22</v>
      </c>
      <c r="D4" s="37">
        <v>39.14</v>
      </c>
      <c r="E4" s="37">
        <v>5.6</v>
      </c>
      <c r="F4" s="37">
        <v>0.32</v>
      </c>
      <c r="G4" s="37">
        <v>11.96</v>
      </c>
      <c r="H4" s="38">
        <v>3.56</v>
      </c>
      <c r="I4" s="35">
        <f t="shared" ref="I4:I12" si="0">-1*(D4-$D$15)/$D$16</f>
        <v>-0.60127177136966881</v>
      </c>
      <c r="J4" s="35">
        <f t="shared" ref="J4:J12" si="1">-1*(E4-$E$15)/$E$16</f>
        <v>-2.4922207904939129E-2</v>
      </c>
      <c r="K4" s="35">
        <f t="shared" ref="K4:K12" si="2">-1*(F4-$F$15)/$F$16</f>
        <v>0.78466192184273242</v>
      </c>
      <c r="L4" s="35">
        <f t="shared" ref="L4:L12" si="3">(G4-$G$15)/$G$16</f>
        <v>-1.3376184621444889</v>
      </c>
      <c r="M4" s="35">
        <f t="shared" ref="M4:M12" si="4">(H4-$H$15)/$H$16</f>
        <v>1.5170809488174624</v>
      </c>
      <c r="N4" s="64">
        <f t="shared" ref="N4:N12" si="5">AVERAGE(I4:M4)</f>
        <v>6.7586085848219568E-2</v>
      </c>
    </row>
    <row r="5" spans="2:14" x14ac:dyDescent="0.35">
      <c r="B5" s="56" t="s">
        <v>2</v>
      </c>
      <c r="C5" s="32" t="s">
        <v>14</v>
      </c>
      <c r="D5" s="33">
        <v>15.47</v>
      </c>
      <c r="E5" s="33">
        <v>2.84</v>
      </c>
      <c r="F5" s="33">
        <v>11.65</v>
      </c>
      <c r="G5" s="33">
        <v>12.4</v>
      </c>
      <c r="H5" s="34">
        <v>1.82</v>
      </c>
      <c r="I5" s="35">
        <f t="shared" si="0"/>
        <v>1.0079664498334133</v>
      </c>
      <c r="J5" s="35">
        <f t="shared" si="1"/>
        <v>0.90460878963063029</v>
      </c>
      <c r="K5" s="35">
        <f t="shared" si="2"/>
        <v>-1.9199987336115298</v>
      </c>
      <c r="L5" s="35">
        <f t="shared" si="3"/>
        <v>0.45674776756153401</v>
      </c>
      <c r="M5" s="35">
        <f t="shared" si="4"/>
        <v>0.47412525899431557</v>
      </c>
      <c r="N5" s="64">
        <f t="shared" si="5"/>
        <v>0.18468990648167266</v>
      </c>
    </row>
    <row r="6" spans="2:14" x14ac:dyDescent="0.35">
      <c r="B6" s="57" t="s">
        <v>3</v>
      </c>
      <c r="C6" s="36" t="s">
        <v>15</v>
      </c>
      <c r="D6" s="37">
        <v>13.46</v>
      </c>
      <c r="E6" s="37">
        <v>3.21</v>
      </c>
      <c r="F6" s="37">
        <v>1.05</v>
      </c>
      <c r="G6" s="37">
        <v>12.39</v>
      </c>
      <c r="H6" s="38">
        <v>0.56000000000000005</v>
      </c>
      <c r="I6" s="35">
        <f>-1*(D6-$D$15)/$D$16</f>
        <v>1.1446191251447018</v>
      </c>
      <c r="J6" s="35">
        <f t="shared" si="1"/>
        <v>0.77999775010593431</v>
      </c>
      <c r="K6" s="35">
        <f t="shared" si="2"/>
        <v>0.61039870220622661</v>
      </c>
      <c r="L6" s="35">
        <f t="shared" si="3"/>
        <v>0.41596671688639797</v>
      </c>
      <c r="M6" s="35">
        <f t="shared" si="4"/>
        <v>-0.28111851639485974</v>
      </c>
      <c r="N6" s="64">
        <f t="shared" si="5"/>
        <v>0.53397275558968027</v>
      </c>
    </row>
    <row r="7" spans="2:14" x14ac:dyDescent="0.35">
      <c r="B7" s="56" t="s">
        <v>4</v>
      </c>
      <c r="C7" s="32" t="s">
        <v>16</v>
      </c>
      <c r="D7" s="33">
        <v>20.329999999999998</v>
      </c>
      <c r="E7" s="33">
        <v>4.5199999999999996</v>
      </c>
      <c r="F7" s="33">
        <v>8.0299999999999994</v>
      </c>
      <c r="G7" s="33">
        <v>12.57</v>
      </c>
      <c r="H7" s="34">
        <v>0.7</v>
      </c>
      <c r="I7" s="35">
        <f t="shared" si="0"/>
        <v>0.67755251848373133</v>
      </c>
      <c r="J7" s="35">
        <f t="shared" si="1"/>
        <v>0.33880731286984894</v>
      </c>
      <c r="K7" s="35">
        <f t="shared" si="2"/>
        <v>-1.0558441376058432</v>
      </c>
      <c r="L7" s="35">
        <f t="shared" si="3"/>
        <v>1.1500256290388615</v>
      </c>
      <c r="M7" s="35">
        <f t="shared" si="4"/>
        <v>-0.1972025413516181</v>
      </c>
      <c r="N7" s="64">
        <f t="shared" si="5"/>
        <v>0.18266775628699611</v>
      </c>
    </row>
    <row r="8" spans="2:14" x14ac:dyDescent="0.35">
      <c r="B8" s="57" t="s">
        <v>5</v>
      </c>
      <c r="C8" s="36" t="s">
        <v>17</v>
      </c>
      <c r="D8" s="37">
        <v>48.61</v>
      </c>
      <c r="E8" s="37">
        <v>6.18</v>
      </c>
      <c r="F8" s="37">
        <v>0.25</v>
      </c>
      <c r="G8" s="37">
        <v>12.3</v>
      </c>
      <c r="H8" s="38">
        <v>4.0599999999999996</v>
      </c>
      <c r="I8" s="35">
        <f t="shared" si="0"/>
        <v>-1.2451030326621566</v>
      </c>
      <c r="J8" s="35">
        <f t="shared" si="1"/>
        <v>-0.22025843202473272</v>
      </c>
      <c r="K8" s="35">
        <f t="shared" si="2"/>
        <v>0.80137209358869876</v>
      </c>
      <c r="L8" s="35">
        <f t="shared" si="3"/>
        <v>4.8937260810166174E-2</v>
      </c>
      <c r="M8" s="35">
        <f t="shared" si="4"/>
        <v>1.8167808596861825</v>
      </c>
      <c r="N8" s="64">
        <f t="shared" si="5"/>
        <v>0.24034574987963161</v>
      </c>
    </row>
    <row r="9" spans="2:14" x14ac:dyDescent="0.35">
      <c r="B9" s="56" t="s">
        <v>6</v>
      </c>
      <c r="C9" s="32" t="s">
        <v>18</v>
      </c>
      <c r="D9" s="33">
        <v>22.86</v>
      </c>
      <c r="E9" s="33">
        <v>6.84</v>
      </c>
      <c r="F9" s="33">
        <v>3.24</v>
      </c>
      <c r="G9" s="33">
        <v>11.96</v>
      </c>
      <c r="H9" s="34">
        <v>0.4</v>
      </c>
      <c r="I9" s="35">
        <f t="shared" si="0"/>
        <v>0.50554691224613935</v>
      </c>
      <c r="J9" s="35">
        <f t="shared" si="1"/>
        <v>-0.44253758360932549</v>
      </c>
      <c r="K9" s="35">
        <f t="shared" si="2"/>
        <v>8.7609043296708891E-2</v>
      </c>
      <c r="L9" s="35">
        <f t="shared" si="3"/>
        <v>-1.3376184621444889</v>
      </c>
      <c r="M9" s="35">
        <f t="shared" si="4"/>
        <v>-0.37702248787285025</v>
      </c>
      <c r="N9" s="64">
        <f t="shared" si="5"/>
        <v>-0.31280451561676326</v>
      </c>
    </row>
    <row r="10" spans="2:14" x14ac:dyDescent="0.35">
      <c r="B10" s="57" t="s">
        <v>9</v>
      </c>
      <c r="C10" s="36" t="s">
        <v>21</v>
      </c>
      <c r="D10" s="37">
        <v>32.54</v>
      </c>
      <c r="E10" s="37">
        <v>4.55</v>
      </c>
      <c r="F10" s="37">
        <v>0.3</v>
      </c>
      <c r="G10" s="37">
        <v>12.53</v>
      </c>
      <c r="H10" s="38">
        <v>-0.87</v>
      </c>
      <c r="I10" s="35">
        <f t="shared" si="0"/>
        <v>-0.1525614942281249</v>
      </c>
      <c r="J10" s="35">
        <f t="shared" si="1"/>
        <v>0.32870371507054919</v>
      </c>
      <c r="K10" s="35">
        <f t="shared" si="2"/>
        <v>0.78943625662729422</v>
      </c>
      <c r="L10" s="35">
        <f t="shared" si="3"/>
        <v>0.98690142633831002</v>
      </c>
      <c r="M10" s="35">
        <f t="shared" si="4"/>
        <v>-1.1382602614794</v>
      </c>
      <c r="N10" s="64">
        <f t="shared" si="5"/>
        <v>0.16284392846572571</v>
      </c>
    </row>
    <row r="11" spans="2:14" x14ac:dyDescent="0.35">
      <c r="B11" s="56" t="s">
        <v>7</v>
      </c>
      <c r="C11" s="32" t="s">
        <v>19</v>
      </c>
      <c r="D11" s="33">
        <v>58.89</v>
      </c>
      <c r="E11" s="33">
        <v>12.84</v>
      </c>
      <c r="F11" s="33">
        <v>1.32</v>
      </c>
      <c r="G11" s="33">
        <v>12.45</v>
      </c>
      <c r="H11" s="34">
        <v>0.68</v>
      </c>
      <c r="I11" s="35">
        <f t="shared" si="0"/>
        <v>-1.944003282512925</v>
      </c>
      <c r="J11" s="35">
        <f t="shared" si="1"/>
        <v>-2.4632571434692592</v>
      </c>
      <c r="K11" s="35">
        <f t="shared" si="2"/>
        <v>0.54594518261464209</v>
      </c>
      <c r="L11" s="35">
        <f t="shared" si="3"/>
        <v>0.66065302093721434</v>
      </c>
      <c r="M11" s="35">
        <f t="shared" si="4"/>
        <v>-0.20919053778636687</v>
      </c>
      <c r="N11" s="64">
        <f t="shared" si="5"/>
        <v>-0.68197055204333878</v>
      </c>
    </row>
    <row r="12" spans="2:14" x14ac:dyDescent="0.35">
      <c r="B12" s="57" t="s">
        <v>8</v>
      </c>
      <c r="C12" s="36" t="s">
        <v>20</v>
      </c>
      <c r="D12" s="37">
        <v>28.39</v>
      </c>
      <c r="E12" s="37">
        <v>6.12</v>
      </c>
      <c r="F12" s="37">
        <v>1.41</v>
      </c>
      <c r="G12" s="37">
        <v>12.39</v>
      </c>
      <c r="H12" s="38">
        <v>0.32</v>
      </c>
      <c r="I12" s="35">
        <f t="shared" si="0"/>
        <v>0.12958208912602759</v>
      </c>
      <c r="J12" s="35">
        <f t="shared" si="1"/>
        <v>-0.20005123642613354</v>
      </c>
      <c r="K12" s="35">
        <f t="shared" si="2"/>
        <v>0.52446067608411406</v>
      </c>
      <c r="L12" s="35">
        <f t="shared" si="3"/>
        <v>0.41596671688639797</v>
      </c>
      <c r="M12" s="35">
        <f t="shared" si="4"/>
        <v>-0.42497447361184554</v>
      </c>
      <c r="N12" s="64">
        <f t="shared" si="5"/>
        <v>8.8996754411712092E-2</v>
      </c>
    </row>
    <row r="13" spans="2:14" x14ac:dyDescent="0.35">
      <c r="B13" s="58"/>
      <c r="C13" s="39"/>
      <c r="D13" s="40"/>
      <c r="E13" s="40"/>
      <c r="F13" s="40"/>
      <c r="G13" s="41"/>
      <c r="H13" s="41"/>
      <c r="I13" s="39"/>
      <c r="J13" s="39"/>
      <c r="K13" s="39"/>
      <c r="L13" s="39"/>
      <c r="M13" s="39"/>
      <c r="N13" s="65"/>
    </row>
    <row r="14" spans="2:14" x14ac:dyDescent="0.35">
      <c r="B14" s="59" t="s">
        <v>11</v>
      </c>
      <c r="C14" s="42" t="s">
        <v>52</v>
      </c>
      <c r="D14" s="43">
        <v>27.03</v>
      </c>
      <c r="E14" s="43">
        <v>4.54</v>
      </c>
      <c r="F14" s="43">
        <v>3.67</v>
      </c>
      <c r="G14" s="43">
        <v>9.16</v>
      </c>
      <c r="H14" s="44">
        <v>1.74</v>
      </c>
      <c r="I14" s="45"/>
      <c r="J14" s="45"/>
      <c r="K14" s="45"/>
      <c r="L14" s="45"/>
      <c r="M14" s="45"/>
      <c r="N14" s="66"/>
    </row>
    <row r="15" spans="2:14" x14ac:dyDescent="0.35">
      <c r="B15" s="60" t="s">
        <v>68</v>
      </c>
      <c r="C15" s="46"/>
      <c r="D15" s="47">
        <f>AVERAGE(D3:D12)</f>
        <v>30.295999999999999</v>
      </c>
      <c r="E15" s="47">
        <f>AVERAGE(E3:E12)</f>
        <v>5.5259999999999998</v>
      </c>
      <c r="F15" s="47">
        <f>AVERAGE(F3:F12)</f>
        <v>3.6069999999999993</v>
      </c>
      <c r="G15" s="47">
        <f>AVERAGE(G3:G12)</f>
        <v>12.288</v>
      </c>
      <c r="H15" s="48">
        <f>AVERAGE(H3:H12)</f>
        <v>1.0290000000000001</v>
      </c>
      <c r="I15" s="47">
        <f>AVERAGE(I3:I12)</f>
        <v>-3.8857805861880476E-17</v>
      </c>
      <c r="J15" s="47">
        <f>AVERAGE(J3:J12)</f>
        <v>-4.4408920985006264E-17</v>
      </c>
      <c r="K15" s="47">
        <f>AVERAGE(K3:K12)</f>
        <v>-1.7763568394002506E-16</v>
      </c>
      <c r="L15" s="47">
        <f>AVERAGE(L3:L12)</f>
        <v>0</v>
      </c>
      <c r="M15" s="47">
        <f>AVERAGE(M3:M12)</f>
        <v>-1.0547118733938987E-16</v>
      </c>
      <c r="N15" s="67">
        <f>AVERAGE(N3:N12)</f>
        <v>-4.163336342344337E-17</v>
      </c>
    </row>
    <row r="16" spans="2:14" ht="15" thickBot="1" x14ac:dyDescent="0.4">
      <c r="B16" s="61" t="s">
        <v>12</v>
      </c>
      <c r="C16" s="51"/>
      <c r="D16" s="52">
        <f>STDEV(D3:D12)</f>
        <v>14.708822900256543</v>
      </c>
      <c r="E16" s="52">
        <f>STDEV(E3:E12)</f>
        <v>2.9692393339409704</v>
      </c>
      <c r="F16" s="52">
        <f>STDEV(F3:F12)</f>
        <v>4.1890652630124743</v>
      </c>
      <c r="G16" s="52">
        <f>STDEV(G3:G12)</f>
        <v>0.24521192648174514</v>
      </c>
      <c r="H16" s="53">
        <f>STDEV(H3:H12)</f>
        <v>1.6683354978340934</v>
      </c>
      <c r="I16" s="52">
        <f>STDEV(I3:I12)</f>
        <v>0.99999999999999956</v>
      </c>
      <c r="J16" s="52">
        <f>STDEV(J3:J12)</f>
        <v>1.0000000000000004</v>
      </c>
      <c r="K16" s="52">
        <f>STDEV(K3:K12)</f>
        <v>1.0000000000000002</v>
      </c>
      <c r="L16" s="52">
        <f>STDEV(L3:L12)</f>
        <v>1</v>
      </c>
      <c r="M16" s="52">
        <f>STDEV(M3:M12)</f>
        <v>1.0000000000000002</v>
      </c>
      <c r="N16" s="68">
        <f>STDEV(N3:N12)</f>
        <v>0.36964990656450653</v>
      </c>
    </row>
    <row r="18" spans="2:3" x14ac:dyDescent="0.35">
      <c r="B18" s="6" t="s">
        <v>69</v>
      </c>
      <c r="C18" s="5" t="s">
        <v>70</v>
      </c>
    </row>
    <row r="19" spans="2:3" x14ac:dyDescent="0.35">
      <c r="C19" t="s">
        <v>28</v>
      </c>
    </row>
  </sheetData>
  <autoFilter ref="B2:N12" xr:uid="{00000000-0009-0000-0000-000000000000}">
    <sortState xmlns:xlrd2="http://schemas.microsoft.com/office/spreadsheetml/2017/richdata2" ref="B3:N12">
      <sortCondition ref="C2:C12"/>
    </sortState>
  </autoFilter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0"/>
  <sheetViews>
    <sheetView workbookViewId="0">
      <pane ySplit="2" topLeftCell="A3" activePane="bottomLeft" state="frozen"/>
      <selection activeCell="C1" sqref="C1"/>
      <selection pane="bottomLeft" activeCell="J3" sqref="J3"/>
    </sheetView>
  </sheetViews>
  <sheetFormatPr defaultRowHeight="14.5" x14ac:dyDescent="0.35"/>
  <cols>
    <col min="2" max="2" width="10" customWidth="1"/>
    <col min="3" max="3" width="50.90625" customWidth="1"/>
    <col min="4" max="10" width="13.6328125" customWidth="1"/>
  </cols>
  <sheetData>
    <row r="1" spans="2:10" ht="29" x14ac:dyDescent="0.45">
      <c r="B1" s="54" t="s">
        <v>71</v>
      </c>
      <c r="C1" s="49"/>
      <c r="D1" s="78" t="s">
        <v>40</v>
      </c>
      <c r="E1" s="78"/>
      <c r="F1" s="78"/>
      <c r="G1" s="79" t="s">
        <v>41</v>
      </c>
      <c r="H1" s="80" t="s">
        <v>42</v>
      </c>
      <c r="I1" s="80"/>
      <c r="J1" s="82" t="s">
        <v>43</v>
      </c>
    </row>
    <row r="2" spans="2:10" x14ac:dyDescent="0.35">
      <c r="B2" s="55" t="s">
        <v>0</v>
      </c>
      <c r="C2" s="29" t="s">
        <v>23</v>
      </c>
      <c r="D2" s="69" t="s">
        <v>24</v>
      </c>
      <c r="E2" s="69" t="s">
        <v>25</v>
      </c>
      <c r="F2" s="69" t="s">
        <v>36</v>
      </c>
      <c r="G2" s="70" t="s">
        <v>35</v>
      </c>
      <c r="H2" s="71" t="s">
        <v>38</v>
      </c>
      <c r="I2" s="71" t="s">
        <v>26</v>
      </c>
      <c r="J2" s="83" t="s">
        <v>29</v>
      </c>
    </row>
    <row r="3" spans="2:10" x14ac:dyDescent="0.35">
      <c r="B3" s="56" t="s">
        <v>1</v>
      </c>
      <c r="C3" s="32" t="s">
        <v>13</v>
      </c>
      <c r="D3" s="33">
        <v>23.27</v>
      </c>
      <c r="E3" s="33">
        <v>2.56</v>
      </c>
      <c r="F3" s="33">
        <v>2.2400000000000002</v>
      </c>
      <c r="G3" s="72">
        <v>0.08</v>
      </c>
      <c r="H3" s="33">
        <v>2.52</v>
      </c>
      <c r="I3" s="33">
        <v>8.5</v>
      </c>
      <c r="J3" s="84">
        <v>-0.94</v>
      </c>
    </row>
    <row r="4" spans="2:10" x14ac:dyDescent="0.35">
      <c r="B4" s="57" t="s">
        <v>10</v>
      </c>
      <c r="C4" s="36" t="s">
        <v>22</v>
      </c>
      <c r="D4" s="37">
        <v>39.14</v>
      </c>
      <c r="E4" s="37">
        <v>5.6</v>
      </c>
      <c r="F4" s="37">
        <v>8.31</v>
      </c>
      <c r="G4" s="73">
        <v>0.19</v>
      </c>
      <c r="H4" s="74" t="s">
        <v>44</v>
      </c>
      <c r="I4" s="37">
        <v>0.32</v>
      </c>
      <c r="J4" s="85">
        <v>3.56</v>
      </c>
    </row>
    <row r="5" spans="2:10" x14ac:dyDescent="0.35">
      <c r="B5" s="56" t="s">
        <v>2</v>
      </c>
      <c r="C5" s="32" t="s">
        <v>14</v>
      </c>
      <c r="D5" s="33">
        <v>15.47</v>
      </c>
      <c r="E5" s="33">
        <v>2.84</v>
      </c>
      <c r="F5" s="33">
        <v>2.64</v>
      </c>
      <c r="G5" s="72">
        <v>0.15</v>
      </c>
      <c r="H5" s="33">
        <v>1.63</v>
      </c>
      <c r="I5" s="33">
        <v>11.65</v>
      </c>
      <c r="J5" s="84">
        <v>1.82</v>
      </c>
    </row>
    <row r="6" spans="2:10" x14ac:dyDescent="0.35">
      <c r="B6" s="57" t="s">
        <v>3</v>
      </c>
      <c r="C6" s="36" t="s">
        <v>15</v>
      </c>
      <c r="D6" s="37">
        <v>13.46</v>
      </c>
      <c r="E6" s="37">
        <v>3.21</v>
      </c>
      <c r="F6" s="37">
        <v>1.34</v>
      </c>
      <c r="G6" s="73">
        <v>0.06</v>
      </c>
      <c r="H6" s="37">
        <v>14.36</v>
      </c>
      <c r="I6" s="37">
        <v>1.05</v>
      </c>
      <c r="J6" s="85">
        <v>0.56000000000000005</v>
      </c>
    </row>
    <row r="7" spans="2:10" x14ac:dyDescent="0.35">
      <c r="B7" s="56" t="s">
        <v>4</v>
      </c>
      <c r="C7" s="32" t="s">
        <v>16</v>
      </c>
      <c r="D7" s="33">
        <v>20.329999999999998</v>
      </c>
      <c r="E7" s="33">
        <v>4.5199999999999996</v>
      </c>
      <c r="F7" s="33">
        <v>2.2000000000000002</v>
      </c>
      <c r="G7" s="72">
        <v>0.12</v>
      </c>
      <c r="H7" s="33">
        <v>2.48</v>
      </c>
      <c r="I7" s="33">
        <v>8.0299999999999994</v>
      </c>
      <c r="J7" s="84">
        <v>0.7</v>
      </c>
    </row>
    <row r="8" spans="2:10" x14ac:dyDescent="0.35">
      <c r="B8" s="57" t="s">
        <v>5</v>
      </c>
      <c r="C8" s="36" t="s">
        <v>17</v>
      </c>
      <c r="D8" s="37">
        <v>48.61</v>
      </c>
      <c r="E8" s="37">
        <v>6.18</v>
      </c>
      <c r="F8" s="37">
        <v>8.19</v>
      </c>
      <c r="G8" s="73">
        <v>0.12</v>
      </c>
      <c r="H8" s="37">
        <v>38.11</v>
      </c>
      <c r="I8" s="37">
        <v>0.25</v>
      </c>
      <c r="J8" s="85">
        <v>4.0599999999999996</v>
      </c>
    </row>
    <row r="9" spans="2:10" x14ac:dyDescent="0.35">
      <c r="B9" s="56" t="s">
        <v>6</v>
      </c>
      <c r="C9" s="32" t="s">
        <v>18</v>
      </c>
      <c r="D9" s="33">
        <v>22.86</v>
      </c>
      <c r="E9" s="33">
        <v>6.84</v>
      </c>
      <c r="F9" s="33">
        <v>1.92</v>
      </c>
      <c r="G9" s="72">
        <v>7.0000000000000007E-2</v>
      </c>
      <c r="H9" s="33">
        <v>30.63</v>
      </c>
      <c r="I9" s="33">
        <v>3.24</v>
      </c>
      <c r="J9" s="84">
        <v>0.4</v>
      </c>
    </row>
    <row r="10" spans="2:10" x14ac:dyDescent="0.35">
      <c r="B10" s="57" t="s">
        <v>9</v>
      </c>
      <c r="C10" s="36" t="s">
        <v>21</v>
      </c>
      <c r="D10" s="37">
        <v>32.54</v>
      </c>
      <c r="E10" s="37">
        <v>4.55</v>
      </c>
      <c r="F10" s="37">
        <v>8.6300000000000008</v>
      </c>
      <c r="G10" s="73">
        <v>0.31</v>
      </c>
      <c r="H10" s="75" t="s">
        <v>44</v>
      </c>
      <c r="I10" s="37">
        <v>0.3</v>
      </c>
      <c r="J10" s="85">
        <v>-0.87</v>
      </c>
    </row>
    <row r="11" spans="2:10" x14ac:dyDescent="0.35">
      <c r="B11" s="56" t="s">
        <v>7</v>
      </c>
      <c r="C11" s="32" t="s">
        <v>19</v>
      </c>
      <c r="D11" s="33">
        <v>58.89</v>
      </c>
      <c r="E11" s="33">
        <v>12.84</v>
      </c>
      <c r="F11" s="33">
        <v>7.91</v>
      </c>
      <c r="G11" s="72">
        <v>0.28000000000000003</v>
      </c>
      <c r="H11" s="33">
        <v>33.909999999999997</v>
      </c>
      <c r="I11" s="33">
        <v>1.32</v>
      </c>
      <c r="J11" s="84">
        <v>0.68</v>
      </c>
    </row>
    <row r="12" spans="2:10" x14ac:dyDescent="0.35">
      <c r="B12" s="57" t="s">
        <v>8</v>
      </c>
      <c r="C12" s="36" t="s">
        <v>20</v>
      </c>
      <c r="D12" s="37">
        <v>28.39</v>
      </c>
      <c r="E12" s="37">
        <v>6.12</v>
      </c>
      <c r="F12" s="37">
        <v>0.98</v>
      </c>
      <c r="G12" s="73">
        <v>0.03</v>
      </c>
      <c r="H12" s="37">
        <v>7.77</v>
      </c>
      <c r="I12" s="37">
        <v>1.41</v>
      </c>
      <c r="J12" s="85">
        <v>0.32</v>
      </c>
    </row>
    <row r="13" spans="2:10" x14ac:dyDescent="0.35">
      <c r="B13" s="58"/>
      <c r="C13" s="39"/>
      <c r="D13" s="40"/>
      <c r="E13" s="40"/>
      <c r="F13" s="40"/>
      <c r="G13" s="40"/>
      <c r="H13" s="40"/>
      <c r="I13" s="40"/>
      <c r="J13" s="86"/>
    </row>
    <row r="14" spans="2:10" x14ac:dyDescent="0.35">
      <c r="B14" s="59" t="s">
        <v>11</v>
      </c>
      <c r="C14" s="42" t="s">
        <v>52</v>
      </c>
      <c r="D14" s="43">
        <v>27.03</v>
      </c>
      <c r="E14" s="43">
        <v>4.54</v>
      </c>
      <c r="F14" s="43">
        <v>2.67</v>
      </c>
      <c r="G14" s="76">
        <v>0.03</v>
      </c>
      <c r="H14" s="43">
        <v>-0.02</v>
      </c>
      <c r="I14" s="43">
        <v>3.67</v>
      </c>
      <c r="J14" s="87">
        <v>1.74</v>
      </c>
    </row>
    <row r="15" spans="2:10" x14ac:dyDescent="0.35">
      <c r="B15" s="60" t="s">
        <v>68</v>
      </c>
      <c r="C15" s="46"/>
      <c r="D15" s="47">
        <f>AVERAGE(D3:D12)</f>
        <v>30.295999999999999</v>
      </c>
      <c r="E15" s="47">
        <f>AVERAGE(E3:E12)</f>
        <v>5.5259999999999998</v>
      </c>
      <c r="F15" s="47">
        <f>AVERAGE(F3:F12)</f>
        <v>4.4360000000000008</v>
      </c>
      <c r="G15" s="77">
        <f>AVERAGE(G3:G12)</f>
        <v>0.14100000000000001</v>
      </c>
      <c r="H15" s="47">
        <f>AVERAGE(H3:H12)</f>
        <v>16.42625</v>
      </c>
      <c r="I15" s="47">
        <f>AVERAGE(I3:I12)</f>
        <v>3.6069999999999993</v>
      </c>
      <c r="J15" s="88">
        <f>AVERAGE(J3:J12)</f>
        <v>1.0290000000000001</v>
      </c>
    </row>
    <row r="16" spans="2:10" ht="15" thickBot="1" x14ac:dyDescent="0.4">
      <c r="B16" s="61" t="s">
        <v>12</v>
      </c>
      <c r="C16" s="51"/>
      <c r="D16" s="52">
        <f>STDEV(D3:D12)</f>
        <v>14.708822900256543</v>
      </c>
      <c r="E16" s="52">
        <f>STDEV(E3:E12)</f>
        <v>2.9692393339409704</v>
      </c>
      <c r="F16" s="52">
        <f>STDEV(F3:F12)</f>
        <v>3.3277593395890608</v>
      </c>
      <c r="G16" s="81">
        <f>STDEV(G3:G12)</f>
        <v>9.3624545689448113E-2</v>
      </c>
      <c r="H16" s="52">
        <f>STDEV(H3:H12)</f>
        <v>15.416242767659975</v>
      </c>
      <c r="I16" s="52">
        <f>STDEV(I3:I12)</f>
        <v>4.1890652630124743</v>
      </c>
      <c r="J16" s="89">
        <f>STDEV(J3:J12)</f>
        <v>1.6683354978340934</v>
      </c>
    </row>
    <row r="17" spans="2:10" ht="29" x14ac:dyDescent="0.35">
      <c r="G17" s="2" t="s">
        <v>37</v>
      </c>
      <c r="H17" s="2" t="s">
        <v>39</v>
      </c>
    </row>
    <row r="18" spans="2:10" x14ac:dyDescent="0.35">
      <c r="B18" s="1" t="s">
        <v>72</v>
      </c>
    </row>
    <row r="19" spans="2:10" x14ac:dyDescent="0.35">
      <c r="B19" s="4"/>
      <c r="C19" s="7" t="s">
        <v>73</v>
      </c>
      <c r="D19" s="4"/>
      <c r="E19" s="4"/>
      <c r="F19" s="8"/>
      <c r="G19" s="9" t="s">
        <v>74</v>
      </c>
      <c r="H19" s="3"/>
      <c r="I19" s="10" t="s">
        <v>75</v>
      </c>
      <c r="J19" s="11"/>
    </row>
    <row r="20" spans="2:10" x14ac:dyDescent="0.35">
      <c r="B20" s="11"/>
      <c r="C20" s="12" t="s">
        <v>76</v>
      </c>
    </row>
  </sheetData>
  <autoFilter ref="B2:J12" xr:uid="{00000000-0009-0000-0000-000001000000}"/>
  <mergeCells count="2">
    <mergeCell ref="D1:F1"/>
    <mergeCell ref="H1:I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 Measures</vt:lpstr>
      <vt:lpstr>Factor Exposures</vt:lpstr>
      <vt:lpstr>Factor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2025-01-27T16:39:53Z</dcterms:created>
  <dcterms:modified xsi:type="dcterms:W3CDTF">2026-02-23T15:48:23Z</dcterms:modified>
</cp:coreProperties>
</file>