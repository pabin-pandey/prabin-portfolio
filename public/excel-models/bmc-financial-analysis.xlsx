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uprd-my.sharepoint.com/personal/tuu00197_temple_edu/Documents/Desktop/Generative AI/Start using Claude Code/claude_portfolio/"/>
    </mc:Choice>
  </mc:AlternateContent>
  <xr:revisionPtr revIDLastSave="0" documentId="13_ncr:1_{3136728C-E5B2-4C66-978E-3D491D2F78CF}" xr6:coauthVersionLast="47" xr6:coauthVersionMax="47" xr10:uidLastSave="{00000000-0000-0000-0000-000000000000}"/>
  <bookViews>
    <workbookView xWindow="-110" yWindow="-110" windowWidth="19420" windowHeight="11500" firstSheet="3" activeTab="4" xr2:uid="{5D705E47-5FDC-4E09-9282-BD903D8859E3}"/>
  </bookViews>
  <sheets>
    <sheet name="Income Statement" sheetId="32" r:id="rId1"/>
    <sheet name="Adjusted EBITDA" sheetId="34" r:id="rId2"/>
    <sheet name="Balance Sheet" sheetId="92" r:id="rId3"/>
    <sheet name="Valuation EBITDA" sheetId="96" r:id="rId4"/>
    <sheet name="Valuation Revenue" sheetId="97" r:id="rId5"/>
  </sheets>
  <definedNames>
    <definedName name="_xlnm.Print_Area" localSheetId="1">'Adjusted EBITDA'!$A$1:$E$23</definedName>
    <definedName name="_xlnm.Print_Area" localSheetId="2">'Balance Sheet'!$A$1:$D$42</definedName>
    <definedName name="_xlnm.Print_Area" localSheetId="0">'Income Statement'!$A$1:$E$27</definedName>
  </definedNames>
  <calcPr calcId="191029" iterateDelta="9.999999999999445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96" l="1"/>
  <c r="F16" i="96"/>
  <c r="G15" i="96"/>
  <c r="F15" i="96"/>
  <c r="G13" i="96"/>
  <c r="G18" i="96" s="1"/>
  <c r="G22" i="96" s="1"/>
  <c r="F13" i="96"/>
  <c r="F18" i="96" s="1"/>
  <c r="F22" i="96" s="1"/>
  <c r="G9" i="96"/>
  <c r="F9" i="96"/>
  <c r="G16" i="97"/>
  <c r="F16" i="97"/>
  <c r="G15" i="97"/>
  <c r="F15" i="97"/>
  <c r="G13" i="97"/>
  <c r="G18" i="97" s="1"/>
  <c r="G22" i="97" s="1"/>
  <c r="F13" i="97"/>
  <c r="G9" i="97"/>
  <c r="F9" i="97"/>
  <c r="D23" i="34"/>
  <c r="E23" i="34"/>
  <c r="C23" i="34"/>
  <c r="D27" i="32"/>
  <c r="E27" i="32"/>
  <c r="C27" i="32"/>
  <c r="A1" i="97"/>
  <c r="A1" i="96"/>
  <c r="A1" i="92"/>
  <c r="D26" i="32"/>
  <c r="E26" i="32"/>
  <c r="C26" i="32"/>
  <c r="D14" i="34"/>
  <c r="E14" i="34"/>
  <c r="C14" i="34"/>
  <c r="A1" i="34"/>
  <c r="D24" i="32"/>
  <c r="E24" i="32"/>
  <c r="C24" i="32"/>
  <c r="D21" i="32"/>
  <c r="E21" i="32"/>
  <c r="C21" i="32"/>
  <c r="D17" i="32"/>
  <c r="E17" i="32"/>
  <c r="C17" i="32"/>
  <c r="D16" i="32"/>
  <c r="E16" i="32"/>
  <c r="C16" i="32"/>
  <c r="D11" i="32"/>
  <c r="E11" i="32"/>
  <c r="C11" i="32"/>
  <c r="F18" i="97" l="1"/>
  <c r="F22" i="9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Prabin Pandey</author>
  </authors>
  <commentList>
    <comment ref="F11" authorId="0" shapeId="0" xr:uid="{309EA7D9-1B8F-444D-996B-3B042F6FF07C}">
      <text>
        <r>
          <rPr>
            <b/>
            <sz val="9"/>
            <color indexed="81"/>
            <rFont val="Tahoma"/>
            <family val="2"/>
          </rPr>
          <t>COMP ANALYSIS:
• ALIT: 10.5x | TNET: 7.8x
• Average: 9.2x | Median: 9.2x
BMC vs Peers:
✓ Better EBITDA margin (20.7% vs ALIT 16%, TNET 9%)
✗ Net LOSS ($103M) = lower quality EBITDA
✗ High restructuring ($77M)
✗ Higher leverage
→ 9.0x (at avg - margin support offset by loss/leverage)</t>
        </r>
      </text>
    </comment>
    <comment ref="G11" authorId="0" shapeId="0" xr:uid="{2EFCCA7F-50A1-4C23-A80B-DFE271110D80}">
      <text>
        <r>
          <rPr>
            <b/>
            <sz val="9"/>
            <color indexed="81"/>
            <rFont val="Tahoma"/>
            <family val="2"/>
          </rPr>
          <t>COMP ANALYSIS:
• ALIT: 10.5x | TNET: 7.8x
• Average: 9.2x | Median: 9.2x
BMC vs Peers:
✓ Better EBITDA margin (23.4% vs ALIT 16%, TNET 9%)
✓ Net PROFIT ($22M) = quality EBITDA
✓ Lower restructuring ($14M)
✓ Lower leverage (6.4x)
→ 10.0x (at ALIT - profitability + margins justify premium)</t>
        </r>
      </text>
    </comment>
    <comment ref="F20" authorId="0" shapeId="0" xr:uid="{0A184C75-502F-416D-AD13-E060F86AD30A}">
      <text>
        <r>
          <rPr>
            <b/>
            <sz val="9"/>
            <color indexed="81"/>
            <rFont val="Tahoma"/>
            <family val="2"/>
          </rPr>
          <t>Prabin Pandey:</t>
        </r>
        <r>
          <rPr>
            <sz val="9"/>
            <color indexed="81"/>
            <rFont val="Tahoma"/>
            <family val="2"/>
          </rPr>
          <t xml:space="preserve">
Source: S-1 Filing - 200,000,000 shares upon IPO completion</t>
        </r>
      </text>
    </comment>
    <comment ref="G20" authorId="0" shapeId="0" xr:uid="{98466878-B1E2-4C2E-9377-DCA760773DFB}">
      <text>
        <r>
          <rPr>
            <b/>
            <sz val="9"/>
            <color indexed="81"/>
            <rFont val="Tahoma"/>
            <family val="2"/>
          </rPr>
          <t>Prabin Pandey:</t>
        </r>
        <r>
          <rPr>
            <sz val="9"/>
            <color indexed="81"/>
            <rFont val="Tahoma"/>
            <family val="2"/>
          </rPr>
          <t xml:space="preserve">
Source: S-1 Filing - 200,000,000 shares upon IPO completion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Prabin Pandey</author>
  </authors>
  <commentList>
    <comment ref="F11" authorId="0" shapeId="0" xr:uid="{A4E9C671-9437-4E9F-AD6E-370F91CF0510}">
      <text>
        <r>
          <rPr>
            <b/>
            <sz val="9"/>
            <color indexed="81"/>
            <rFont val="Tahoma"/>
            <family val="2"/>
          </rPr>
          <t>COMP ANALYSIS:
• ALIT: 1.7x | TNET: 0.7x
• Average: 1.2x | Median: 1.2x
BMC vs Peers:
✓ Better EBITDA margin (20.7% vs ALIT 16%, TNET 9%)
✓ Better retention (93%+)
✗ Net LOSS ($103M)
✗ Higher leverage (7.2x)
✗ Margin compression
→ 1.3x (at avg - margin support offset by loss)</t>
        </r>
      </text>
    </comment>
    <comment ref="G11" authorId="0" shapeId="0" xr:uid="{A5B29586-4E2A-42FD-9D96-8E83FC63162D}">
      <text>
        <r>
          <rPr>
            <b/>
            <sz val="9"/>
            <color indexed="81"/>
            <rFont val="Tahoma"/>
            <family val="2"/>
          </rPr>
          <t>COMP ANALYSIS:
• ALIT: 1.7x | TNET: 0.7x
• Average: 1.2x | Median: 1.2x
BMC vs Peers:
✓ Better EBITDA margin (23.4% vs ALIT 16%, TNET 9%)
✓ Better retention (93%+)
✓ Net PROFIT ($22M)
✓ Lower leverage (6.4x)
→ 1.5x (above avg - profitability + margins justify premium)</t>
        </r>
      </text>
    </comment>
    <comment ref="F20" authorId="0" shapeId="0" xr:uid="{8B6F7971-5F03-40B8-B7BF-1CAC81598C81}">
      <text>
        <r>
          <rPr>
            <b/>
            <sz val="9"/>
            <color indexed="81"/>
            <rFont val="Tahoma"/>
            <family val="2"/>
          </rPr>
          <t>Prabin Pandey:</t>
        </r>
        <r>
          <rPr>
            <sz val="9"/>
            <color indexed="81"/>
            <rFont val="Tahoma"/>
            <family val="2"/>
          </rPr>
          <t xml:space="preserve">
Source: S-1 Filing - 200,000,000 shares upon IPO completion</t>
        </r>
      </text>
    </comment>
    <comment ref="G20" authorId="0" shapeId="0" xr:uid="{716DCAAD-5971-4ACE-A1D8-E05287A8B667}">
      <text>
        <r>
          <rPr>
            <b/>
            <sz val="9"/>
            <color indexed="81"/>
            <rFont val="Tahoma"/>
            <family val="2"/>
          </rPr>
          <t>Prabin Pandey:</t>
        </r>
        <r>
          <rPr>
            <sz val="9"/>
            <color indexed="81"/>
            <rFont val="Tahoma"/>
            <family val="2"/>
          </rPr>
          <t xml:space="preserve">
Source: S-1 Filing - 200,000,000 shares upon IPO completion</t>
        </r>
      </text>
    </comment>
  </commentList>
</comments>
</file>

<file path=xl/sharedStrings.xml><?xml version="1.0" encoding="utf-8"?>
<sst xmlns="http://schemas.openxmlformats.org/spreadsheetml/2006/main" count="124" uniqueCount="73">
  <si>
    <t/>
  </si>
  <si>
    <t>Year Ended</t>
  </si>
  <si>
    <t>December 31,</t>
  </si>
  <si>
    <t>(in millions)</t>
  </si>
  <si>
    <t>Net (Loss) Income</t>
  </si>
  <si>
    <t>Interest expense</t>
  </si>
  <si>
    <t>Income tax (benefit) expense</t>
  </si>
  <si>
    <t>Depreciation</t>
  </si>
  <si>
    <t>Intangible amortization</t>
  </si>
  <si>
    <t>EBITDA</t>
  </si>
  <si>
    <t>Share-based compensation</t>
  </si>
  <si>
    <t>Restructuring</t>
  </si>
  <si>
    <t>Adjusted EBITDA</t>
  </si>
  <si>
    <t>Non-recurring professional expenses</t>
  </si>
  <si>
    <t>Transformation initiatives</t>
  </si>
  <si>
    <t>Assets</t>
  </si>
  <si>
    <t>Current Assets</t>
  </si>
  <si>
    <t>Cash and cash equivalents</t>
  </si>
  <si>
    <t>Receivables, net</t>
  </si>
  <si>
    <t>Other current assets</t>
  </si>
  <si>
    <t>Fiduciary assets</t>
  </si>
  <si>
    <t>Total Current Assets</t>
  </si>
  <si>
    <t>Goodwill</t>
  </si>
  <si>
    <t>Intangible assets, net</t>
  </si>
  <si>
    <t>Fixed assets, net</t>
  </si>
  <si>
    <t>Other assets</t>
  </si>
  <si>
    <t>Total Assets</t>
  </si>
  <si>
    <t>Liabilities and Equity</t>
  </si>
  <si>
    <t>Liabilities</t>
  </si>
  <si>
    <t>Current Liabilities</t>
  </si>
  <si>
    <t>Other current liabilities</t>
  </si>
  <si>
    <t>Total Current Liabilities</t>
  </si>
  <si>
    <t>Fiduciary liabilities</t>
  </si>
  <si>
    <t>Deferred tax liabilities</t>
  </si>
  <si>
    <t>Long term debt</t>
  </si>
  <si>
    <t>Other liabilities</t>
  </si>
  <si>
    <t>Total Liabilities</t>
  </si>
  <si>
    <t>Revenue</t>
  </si>
  <si>
    <t>amortization</t>
  </si>
  <si>
    <t>Gross Profit</t>
  </si>
  <si>
    <t>Total operating expenses</t>
  </si>
  <si>
    <t>Operating Income</t>
  </si>
  <si>
    <t>Depreciation and amortization</t>
  </si>
  <si>
    <t>Accounts payable and accrued liabilities</t>
  </si>
  <si>
    <t>Selling, general and administrative</t>
  </si>
  <si>
    <t>Cost of services, exclusive of depreciation and</t>
  </si>
  <si>
    <t>Other expense, net</t>
  </si>
  <si>
    <t>(Loss) Income Before Income Tax (Benefit) Expense</t>
  </si>
  <si>
    <t>Total Current Assets Before Fiduciary Assets</t>
  </si>
  <si>
    <t>Deferred tax assets, net</t>
  </si>
  <si>
    <t>Current portion of long term debt</t>
  </si>
  <si>
    <t>Total Current Liabilities Before Fiduciary Liabilities</t>
  </si>
  <si>
    <t>Total Liabilities and Members' Equity</t>
  </si>
  <si>
    <t>Recent Year</t>
  </si>
  <si>
    <t>Prior Year 1</t>
  </si>
  <si>
    <t>Prior Year 2</t>
  </si>
  <si>
    <t>INCOME STATEMENTS</t>
  </si>
  <si>
    <t>Depreciation and amortization (related to cost of services)</t>
  </si>
  <si>
    <t>Other non-recurring items</t>
  </si>
  <si>
    <t>Spin-off expenses</t>
  </si>
  <si>
    <t>Total Equity</t>
  </si>
  <si>
    <t>Balance Sheet</t>
  </si>
  <si>
    <t>Market Approach Valuation</t>
  </si>
  <si>
    <t>Multiple</t>
  </si>
  <si>
    <t>Enterprise Value</t>
  </si>
  <si>
    <t>Add: Cash</t>
  </si>
  <si>
    <t>Equity Value</t>
  </si>
  <si>
    <t>Shares Outstanding</t>
  </si>
  <si>
    <t>Value per Share</t>
  </si>
  <si>
    <t>In millions except for per share amounts</t>
  </si>
  <si>
    <t>Less: Interest Bearing Debt</t>
  </si>
  <si>
    <t>Margin</t>
  </si>
  <si>
    <t>BENEFITS MANAGEMENT COMPANY, INC. - FIN 5637 SPRING 2024 - STUDENT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</si>
</sst>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2" formatCode="_(&quot;$&quot;* #,##0_);_(&quot;$&quot;* \(#,##0\);_(&quot;$&quot;* &quot;-&quot;_);_(@_)"/>
    <numFmt numFmtId="43" formatCode="_(* #,##0.00_);_(* \(#,##0.00\);_(* &quot;-&quot;??_);_(@_)"/>
    <numFmt numFmtId="164" formatCode="&quot;$&quot;#,##0.0_);[Red]\(&quot;$&quot;#,##0.0\)"/>
    <numFmt numFmtId="165" formatCode="_(&quot;$&quot;* #,##0.0_);_(&quot;$&quot;* \(#,##0.0\);_(&quot;$&quot;* &quot;-&quot;_);_(@_)"/>
    <numFmt numFmtId="166" formatCode="#,##0.0_);\(#,##0.0\)"/>
    <numFmt numFmtId="167" formatCode="_(* #,##0.0_);_(* \(#,##0.0\);_(* &quot;-&quot;??_);_(@_)"/>
    <numFmt numFmtId="169" formatCode="0.0%"/>
    <numFmt numFmtId="170" formatCode="0.0\x"/>
    <numFmt numFmtId="172" formatCode="#,##0.0"/>
    <numFmt numFmtId="173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>
      <alignment vertical="top"/>
    </xf>
    <xf numFmtId="43" fontId="2" fillId="0" borderId="0">
      <alignment vertical="top"/>
    </xf>
    <xf numFmtId="8" fontId="2" fillId="0" borderId="0">
      <alignment vertical="top"/>
    </xf>
    <xf numFmtId="9" fontId="2" fillId="0" borderId="0">
      <alignment vertical="top"/>
    </xf>
  </cellStyleXfs>
  <cellXfs count="34">
    <xf numFmtId="0" fontId="0" fillId="0" borderId="0" xfId="0">
      <alignment vertical="top"/>
    </xf>
    <xf numFmtId="0" fontId="2" fillId="0" borderId="0" xfId="0" applyFont="1">
      <alignment vertical="top"/>
    </xf>
    <xf numFmtId="42" fontId="2" fillId="0" borderId="0" xfId="0" applyNumberFormat="1" applyFont="1">
      <alignment vertical="top"/>
    </xf>
    <xf numFmtId="37" fontId="2" fillId="0" borderId="0" xfId="0" applyNumberFormat="1" applyFont="1">
      <alignment vertical="top"/>
    </xf>
    <xf numFmtId="43" fontId="2" fillId="0" borderId="0" xfId="0" applyNumberFormat="1" applyFont="1">
      <alignment vertical="top"/>
    </xf>
    <xf numFmtId="0" fontId="3" fillId="0" borderId="0" xfId="0" applyFont="1">
      <alignment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right" vertical="top"/>
    </xf>
    <xf numFmtId="0" fontId="5" fillId="0" borderId="0" xfId="0" applyFont="1">
      <alignment vertical="top"/>
    </xf>
    <xf numFmtId="0" fontId="3" fillId="0" borderId="0" xfId="0" applyFont="1" applyAlignment="1">
      <alignment horizontal="left" vertical="top"/>
    </xf>
    <xf numFmtId="164" fontId="2" fillId="0" borderId="0" xfId="2" applyNumberFormat="1">
      <alignment vertical="top"/>
    </xf>
    <xf numFmtId="0" fontId="4" fillId="0" borderId="0" xfId="0" applyFont="1" applyAlignment="1">
      <alignment horizontal="center" vertical="top"/>
    </xf>
    <xf numFmtId="165" fontId="2" fillId="0" borderId="0" xfId="0" applyNumberFormat="1" applyFont="1">
      <alignment vertical="top"/>
    </xf>
    <xf numFmtId="166" fontId="2" fillId="0" borderId="0" xfId="0" applyNumberFormat="1" applyFont="1">
      <alignment vertical="top"/>
    </xf>
    <xf numFmtId="166" fontId="2" fillId="0" borderId="1" xfId="0" applyNumberFormat="1" applyFont="1" applyBorder="1">
      <alignment vertical="top"/>
    </xf>
    <xf numFmtId="166" fontId="0" fillId="0" borderId="0" xfId="0" applyNumberFormat="1">
      <alignment vertical="top"/>
    </xf>
    <xf numFmtId="165" fontId="2" fillId="0" borderId="2" xfId="0" applyNumberFormat="1" applyFont="1" applyBorder="1">
      <alignment vertical="top"/>
    </xf>
    <xf numFmtId="0" fontId="0" fillId="2" borderId="0" xfId="0" applyFill="1">
      <alignment vertical="top"/>
    </xf>
    <xf numFmtId="37" fontId="2" fillId="0" borderId="1" xfId="0" applyNumberFormat="1" applyFont="1" applyBorder="1">
      <alignment vertical="top"/>
    </xf>
    <xf numFmtId="42" fontId="2" fillId="0" borderId="2" xfId="0" applyNumberFormat="1" applyFont="1" applyBorder="1">
      <alignment vertical="top"/>
    </xf>
    <xf numFmtId="0" fontId="6" fillId="0" borderId="0" xfId="0" applyFont="1">
      <alignment vertical="top"/>
    </xf>
    <xf numFmtId="0" fontId="7" fillId="0" borderId="0" xfId="0" applyFont="1">
      <alignment vertical="top"/>
    </xf>
    <xf numFmtId="42" fontId="2" fillId="0" borderId="1" xfId="0" applyNumberFormat="1" applyFont="1" applyBorder="1">
      <alignment vertical="top"/>
    </xf>
    <xf numFmtId="167" fontId="2" fillId="0" borderId="0" xfId="1" applyNumberFormat="1">
      <alignment vertical="top"/>
    </xf>
    <xf numFmtId="167" fontId="2" fillId="0" borderId="1" xfId="1" applyNumberFormat="1" applyBorder="1">
      <alignment vertical="top"/>
    </xf>
    <xf numFmtId="169" fontId="2" fillId="0" borderId="0" xfId="3" applyNumberFormat="1">
      <alignment vertical="top"/>
    </xf>
    <xf numFmtId="0" fontId="3" fillId="0" borderId="0" xfId="0" applyFont="1" applyAlignment="1">
      <alignment horizontal="left" vertical="top"/>
    </xf>
    <xf numFmtId="0" fontId="0" fillId="0" borderId="0" xfId="0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170" fontId="8" fillId="0" borderId="0" xfId="1" applyNumberFormat="1" applyFont="1">
      <alignment vertical="top"/>
    </xf>
    <xf numFmtId="3" fontId="2" fillId="0" borderId="0" xfId="2" applyNumberFormat="1">
      <alignment vertical="top"/>
    </xf>
    <xf numFmtId="172" fontId="8" fillId="0" borderId="0" xfId="1" applyNumberFormat="1" applyFont="1">
      <alignment vertical="top"/>
    </xf>
    <xf numFmtId="173" fontId="2" fillId="0" borderId="0" xfId="2" applyNumberFormat="1">
      <alignment vertical="top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485264-7105-41A8-9F2B-8885B2332C70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9A89-6160-4398-B585-606902D085E2}">
  <sheetPr codeName="Sheet6"/>
  <dimension ref="A1:E27"/>
  <sheetViews>
    <sheetView showGridLines="0" workbookViewId="0">
      <selection activeCell="A2" sqref="A2:E2"/>
    </sheetView>
  </sheetViews>
  <sheetFormatPr defaultColWidth="20.81640625" defaultRowHeight="12.5" outlineLevelCol="7" x14ac:dyDescent="0.25"/>
  <cols>
    <col min="1" max="1" width="3" customWidth="1" outlineLevel="7"/>
    <col min="2" max="2" width="58" customWidth="1" outlineLevel="7"/>
    <col min="3" max="3" width="14" customWidth="1" outlineLevel="7"/>
    <col min="4" max="4" width="15" customWidth="1" outlineLevel="7"/>
    <col min="5" max="5" width="14" customWidth="1" outlineLevel="7"/>
  </cols>
  <sheetData>
    <row r="1" spans="1:5" ht="18.75" customHeight="1" x14ac:dyDescent="0.25">
      <c r="A1" s="8" t="s">
        <v>72</v>
      </c>
      <c r="B1" s="8"/>
      <c r="C1" s="8"/>
      <c r="D1" s="8"/>
      <c r="E1" s="8"/>
    </row>
    <row r="2" spans="1:5" ht="13" x14ac:dyDescent="0.25">
      <c r="A2" s="26" t="s">
        <v>56</v>
      </c>
      <c r="B2" s="27"/>
      <c r="C2" s="27"/>
      <c r="D2" s="27"/>
      <c r="E2" s="27"/>
    </row>
    <row r="3" spans="1:5" ht="13" x14ac:dyDescent="0.25">
      <c r="B3" s="1" t="s">
        <v>0</v>
      </c>
      <c r="C3" s="1" t="s">
        <v>0</v>
      </c>
      <c r="D3" s="6" t="s">
        <v>1</v>
      </c>
    </row>
    <row r="4" spans="1:5" ht="13" x14ac:dyDescent="0.25">
      <c r="B4" s="1" t="s">
        <v>0</v>
      </c>
      <c r="C4" s="1" t="s">
        <v>0</v>
      </c>
      <c r="D4" s="6" t="s">
        <v>2</v>
      </c>
    </row>
    <row r="5" spans="1:5" ht="13" x14ac:dyDescent="0.25">
      <c r="B5" s="5" t="s">
        <v>3</v>
      </c>
      <c r="C5" s="7" t="s">
        <v>53</v>
      </c>
      <c r="D5" s="7" t="s">
        <v>54</v>
      </c>
      <c r="E5" s="7" t="s">
        <v>55</v>
      </c>
    </row>
    <row r="6" spans="1:5" ht="13" x14ac:dyDescent="0.25">
      <c r="B6" s="5" t="s">
        <v>37</v>
      </c>
      <c r="C6" s="10">
        <v>2728</v>
      </c>
      <c r="D6" s="10">
        <v>2552</v>
      </c>
      <c r="E6" s="10">
        <v>2378</v>
      </c>
    </row>
    <row r="7" spans="1:5" x14ac:dyDescent="0.25">
      <c r="B7" s="1" t="s">
        <v>45</v>
      </c>
    </row>
    <row r="8" spans="1:5" x14ac:dyDescent="0.25">
      <c r="B8" s="1" t="s">
        <v>38</v>
      </c>
      <c r="C8" s="13">
        <v>1829</v>
      </c>
      <c r="D8" s="13">
        <v>1619</v>
      </c>
      <c r="E8" s="13">
        <v>1493</v>
      </c>
    </row>
    <row r="9" spans="1:5" x14ac:dyDescent="0.25">
      <c r="B9" t="s">
        <v>57</v>
      </c>
      <c r="C9" s="14">
        <v>65</v>
      </c>
      <c r="D9" s="14">
        <v>50</v>
      </c>
      <c r="E9" s="14">
        <v>34</v>
      </c>
    </row>
    <row r="10" spans="1:5" x14ac:dyDescent="0.25">
      <c r="C10" s="15"/>
      <c r="D10" s="15"/>
      <c r="E10" s="15"/>
    </row>
    <row r="11" spans="1:5" ht="13" x14ac:dyDescent="0.25">
      <c r="B11" s="5" t="s">
        <v>39</v>
      </c>
      <c r="C11" s="13">
        <f>+C6-C8-C9</f>
        <v>834</v>
      </c>
      <c r="D11" s="13">
        <f>+D6-D8-D9</f>
        <v>883</v>
      </c>
      <c r="E11" s="13">
        <f>+E6-E8-E9</f>
        <v>851</v>
      </c>
    </row>
    <row r="12" spans="1:5" ht="13" x14ac:dyDescent="0.25">
      <c r="B12" s="5"/>
      <c r="C12" s="13"/>
      <c r="D12" s="13"/>
      <c r="E12" s="13"/>
    </row>
    <row r="13" spans="1:5" x14ac:dyDescent="0.25">
      <c r="B13" s="1" t="s">
        <v>44</v>
      </c>
      <c r="C13" s="13">
        <v>461</v>
      </c>
      <c r="D13" s="13">
        <v>415</v>
      </c>
      <c r="E13" s="13">
        <v>452</v>
      </c>
    </row>
    <row r="14" spans="1:5" x14ac:dyDescent="0.25">
      <c r="B14" t="s">
        <v>42</v>
      </c>
      <c r="C14" s="14">
        <v>226</v>
      </c>
      <c r="D14" s="14">
        <v>203</v>
      </c>
      <c r="E14" s="14">
        <v>195</v>
      </c>
    </row>
    <row r="15" spans="1:5" x14ac:dyDescent="0.25">
      <c r="C15" s="15"/>
      <c r="D15" s="15"/>
      <c r="E15" s="15"/>
    </row>
    <row r="16" spans="1:5" x14ac:dyDescent="0.25">
      <c r="B16" s="1" t="s">
        <v>40</v>
      </c>
      <c r="C16" s="14">
        <f>+C13+C14</f>
        <v>687</v>
      </c>
      <c r="D16" s="14">
        <f>+D13+D14</f>
        <v>618</v>
      </c>
      <c r="E16" s="14">
        <f>+E13+E14</f>
        <v>647</v>
      </c>
    </row>
    <row r="17" spans="2:5" x14ac:dyDescent="0.25">
      <c r="B17" s="1" t="s">
        <v>41</v>
      </c>
      <c r="C17" s="13">
        <f>+C11-C16</f>
        <v>147</v>
      </c>
      <c r="D17" s="13">
        <f>+D11-D16</f>
        <v>265</v>
      </c>
      <c r="E17" s="13">
        <f>+E11-E16</f>
        <v>204</v>
      </c>
    </row>
    <row r="18" spans="2:5" x14ac:dyDescent="0.25">
      <c r="B18" s="1" t="s">
        <v>5</v>
      </c>
      <c r="C18" s="13">
        <v>234</v>
      </c>
      <c r="D18" s="13">
        <v>224</v>
      </c>
      <c r="E18" s="13">
        <v>208</v>
      </c>
    </row>
    <row r="19" spans="2:5" x14ac:dyDescent="0.25">
      <c r="B19" s="1" t="s">
        <v>46</v>
      </c>
      <c r="C19" s="14">
        <v>7</v>
      </c>
      <c r="D19" s="14">
        <v>3</v>
      </c>
      <c r="E19" s="14">
        <v>0</v>
      </c>
    </row>
    <row r="20" spans="2:5" x14ac:dyDescent="0.25">
      <c r="C20" s="15"/>
      <c r="D20" s="15"/>
      <c r="E20" s="15"/>
    </row>
    <row r="21" spans="2:5" x14ac:dyDescent="0.25">
      <c r="B21" s="1" t="s">
        <v>47</v>
      </c>
      <c r="C21" s="13">
        <f>+C17-C18-C19</f>
        <v>-94</v>
      </c>
      <c r="D21" s="13">
        <f>+D17-D18-D19</f>
        <v>38</v>
      </c>
      <c r="E21" s="13">
        <f>+E17-E18-E19</f>
        <v>-4</v>
      </c>
    </row>
    <row r="22" spans="2:5" x14ac:dyDescent="0.25">
      <c r="B22" s="1" t="s">
        <v>6</v>
      </c>
      <c r="C22" s="14">
        <v>9</v>
      </c>
      <c r="D22" s="14">
        <v>16</v>
      </c>
      <c r="E22" s="14">
        <v>17</v>
      </c>
    </row>
    <row r="24" spans="2:5" x14ac:dyDescent="0.25">
      <c r="B24" s="1" t="s">
        <v>4</v>
      </c>
      <c r="C24" s="10">
        <f>+C21-C22</f>
        <v>-103</v>
      </c>
      <c r="D24" s="10">
        <f>+D21-D22</f>
        <v>22</v>
      </c>
      <c r="E24" s="10">
        <f>+E21-E22</f>
        <v>-21</v>
      </c>
    </row>
    <row r="26" spans="2:5" x14ac:dyDescent="0.25">
      <c r="B26" t="s">
        <v>9</v>
      </c>
      <c r="C26" s="10">
        <f>+C24+C22+C18+C14+C9</f>
        <v>431</v>
      </c>
      <c r="D26" s="10">
        <f>+D24+D22+D18+D14+D9</f>
        <v>515</v>
      </c>
      <c r="E26" s="10">
        <f>+E24+E22+E18+E14+E9</f>
        <v>433</v>
      </c>
    </row>
    <row r="27" spans="2:5" x14ac:dyDescent="0.25">
      <c r="B27" t="s">
        <v>71</v>
      </c>
      <c r="C27" s="25">
        <f>+C26/C6</f>
        <v>0.15799120234604105</v>
      </c>
      <c r="D27" s="25">
        <f>+D26/D6</f>
        <v>0.20180250783699061</v>
      </c>
      <c r="E27" s="25">
        <f>+E26/E6</f>
        <v>0.18208578637510514</v>
      </c>
    </row>
  </sheetData>
  <mergeCells count="1">
    <mergeCell ref="A2:E2"/>
  </mergeCells>
  <pageMargins left="0.75" right="0.75" top="1" bottom="1" header="0.5" footer="0.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EE61-C0BA-4459-AAA5-1BE12EDF3452}">
  <sheetPr codeName="Sheet7"/>
  <dimension ref="A1:E23"/>
  <sheetViews>
    <sheetView showGridLines="0" topLeftCell="A16" workbookViewId="0">
      <selection activeCell="D27" sqref="D27"/>
    </sheetView>
  </sheetViews>
  <sheetFormatPr defaultColWidth="20.81640625" defaultRowHeight="12.5" outlineLevelCol="7" x14ac:dyDescent="0.25"/>
  <cols>
    <col min="1" max="1" width="3" customWidth="1" outlineLevel="7"/>
    <col min="2" max="2" width="43" customWidth="1" outlineLevel="7"/>
    <col min="3" max="3" width="14.1796875" customWidth="1" outlineLevel="7"/>
    <col min="4" max="4" width="15" customWidth="1" outlineLevel="7"/>
    <col min="5" max="5" width="14" customWidth="1" outlineLevel="7"/>
  </cols>
  <sheetData>
    <row r="1" spans="1:5" ht="19.149999999999999" customHeight="1" x14ac:dyDescent="0.25">
      <c r="A1" s="8" t="str">
        <f>+'Income Statement'!A1</f>
        <v>BENEFITS MANAGEMENT COMPANY, INC. - FIN 5637 SPRING 2024 - STUDENT FILE</v>
      </c>
    </row>
    <row r="2" spans="1:5" ht="13" x14ac:dyDescent="0.25">
      <c r="A2" s="9" t="s">
        <v>12</v>
      </c>
    </row>
    <row r="4" spans="1:5" ht="13" x14ac:dyDescent="0.25">
      <c r="A4" s="28" t="s">
        <v>0</v>
      </c>
      <c r="B4" s="27"/>
      <c r="C4" s="27"/>
      <c r="D4" s="27"/>
      <c r="E4" s="27"/>
    </row>
    <row r="5" spans="1:5" ht="13" x14ac:dyDescent="0.25">
      <c r="B5" s="1" t="s">
        <v>0</v>
      </c>
      <c r="C5" s="1" t="s">
        <v>0</v>
      </c>
      <c r="D5" s="6" t="s">
        <v>1</v>
      </c>
    </row>
    <row r="6" spans="1:5" ht="13" x14ac:dyDescent="0.25">
      <c r="B6" s="1" t="s">
        <v>0</v>
      </c>
      <c r="C6" s="1" t="s">
        <v>0</v>
      </c>
      <c r="D6" s="6" t="s">
        <v>2</v>
      </c>
    </row>
    <row r="7" spans="1:5" ht="13" x14ac:dyDescent="0.25">
      <c r="B7" s="1" t="s">
        <v>3</v>
      </c>
      <c r="C7" s="11" t="s">
        <v>53</v>
      </c>
      <c r="D7" s="11" t="s">
        <v>54</v>
      </c>
      <c r="E7" s="11" t="s">
        <v>55</v>
      </c>
    </row>
    <row r="8" spans="1:5" x14ac:dyDescent="0.25">
      <c r="B8" s="1" t="s">
        <v>4</v>
      </c>
      <c r="C8" s="12">
        <v>-103</v>
      </c>
      <c r="D8" s="12">
        <v>22</v>
      </c>
      <c r="E8" s="12">
        <v>-21</v>
      </c>
    </row>
    <row r="9" spans="1:5" x14ac:dyDescent="0.25">
      <c r="B9" s="1" t="s">
        <v>5</v>
      </c>
      <c r="C9" s="13">
        <v>234</v>
      </c>
      <c r="D9" s="13">
        <v>224</v>
      </c>
      <c r="E9" s="13">
        <v>208</v>
      </c>
    </row>
    <row r="10" spans="1:5" x14ac:dyDescent="0.25">
      <c r="B10" s="1" t="s">
        <v>6</v>
      </c>
      <c r="C10" s="13">
        <v>9</v>
      </c>
      <c r="D10" s="13">
        <v>16</v>
      </c>
      <c r="E10" s="13">
        <v>17</v>
      </c>
    </row>
    <row r="11" spans="1:5" x14ac:dyDescent="0.25">
      <c r="B11" s="1" t="s">
        <v>7</v>
      </c>
      <c r="C11" s="13">
        <v>91</v>
      </c>
      <c r="D11" s="13">
        <v>68</v>
      </c>
      <c r="E11" s="13">
        <v>49</v>
      </c>
    </row>
    <row r="12" spans="1:5" x14ac:dyDescent="0.25">
      <c r="B12" s="1" t="s">
        <v>8</v>
      </c>
      <c r="C12" s="14">
        <v>200</v>
      </c>
      <c r="D12" s="14">
        <v>185</v>
      </c>
      <c r="E12" s="14">
        <v>180</v>
      </c>
    </row>
    <row r="13" spans="1:5" x14ac:dyDescent="0.25">
      <c r="C13" s="15"/>
      <c r="D13" s="15"/>
      <c r="E13" s="15"/>
    </row>
    <row r="14" spans="1:5" ht="13" x14ac:dyDescent="0.25">
      <c r="B14" s="5" t="s">
        <v>9</v>
      </c>
      <c r="C14" s="13">
        <f>SUM(C8:C12)</f>
        <v>431</v>
      </c>
      <c r="D14" s="13">
        <f>SUM(D8:D12)</f>
        <v>515</v>
      </c>
      <c r="E14" s="13">
        <f>SUM(E8:E12)</f>
        <v>433</v>
      </c>
    </row>
    <row r="15" spans="1:5" x14ac:dyDescent="0.25">
      <c r="B15" s="1" t="s">
        <v>10</v>
      </c>
      <c r="C15" s="13">
        <v>5</v>
      </c>
      <c r="D15" s="13">
        <v>9</v>
      </c>
      <c r="E15" s="13">
        <v>14</v>
      </c>
    </row>
    <row r="16" spans="1:5" x14ac:dyDescent="0.25">
      <c r="B16" t="s">
        <v>59</v>
      </c>
      <c r="C16" s="13">
        <v>0</v>
      </c>
      <c r="D16" s="13">
        <v>0</v>
      </c>
      <c r="E16" s="13">
        <v>49</v>
      </c>
    </row>
    <row r="17" spans="2:5" x14ac:dyDescent="0.25">
      <c r="B17" t="s">
        <v>13</v>
      </c>
      <c r="C17" s="13">
        <v>0</v>
      </c>
      <c r="D17" s="13">
        <v>14</v>
      </c>
      <c r="E17" s="13">
        <v>1</v>
      </c>
    </row>
    <row r="18" spans="2:5" x14ac:dyDescent="0.25">
      <c r="B18" t="s">
        <v>14</v>
      </c>
      <c r="C18" s="13">
        <v>8</v>
      </c>
      <c r="D18" s="13">
        <v>22</v>
      </c>
      <c r="E18" s="13">
        <v>52</v>
      </c>
    </row>
    <row r="19" spans="2:5" x14ac:dyDescent="0.25">
      <c r="B19" s="1" t="s">
        <v>11</v>
      </c>
      <c r="C19" s="13">
        <v>77</v>
      </c>
      <c r="D19" s="13">
        <v>14</v>
      </c>
      <c r="E19" s="13">
        <v>0</v>
      </c>
    </row>
    <row r="20" spans="2:5" x14ac:dyDescent="0.25">
      <c r="B20" t="s">
        <v>58</v>
      </c>
      <c r="C20" s="14">
        <v>43</v>
      </c>
      <c r="D20" s="14">
        <v>22</v>
      </c>
      <c r="E20" s="14">
        <v>27</v>
      </c>
    </row>
    <row r="22" spans="2:5" ht="13.5" thickBot="1" x14ac:dyDescent="0.3">
      <c r="B22" s="5" t="s">
        <v>12</v>
      </c>
      <c r="C22" s="16">
        <v>564</v>
      </c>
      <c r="D22" s="16">
        <v>596</v>
      </c>
      <c r="E22" s="16">
        <v>576</v>
      </c>
    </row>
    <row r="23" spans="2:5" ht="13" thickTop="1" x14ac:dyDescent="0.25">
      <c r="B23" t="s">
        <v>71</v>
      </c>
      <c r="C23" s="25">
        <f>+C22/'Income Statement'!C6</f>
        <v>0.20674486803519063</v>
      </c>
      <c r="D23" s="25">
        <f>+D22/'Income Statement'!D6</f>
        <v>0.2335423197492163</v>
      </c>
      <c r="E23" s="25">
        <f>+E22/'Income Statement'!E6</f>
        <v>0.24222035323801513</v>
      </c>
    </row>
  </sheetData>
  <mergeCells count="1">
    <mergeCell ref="A4:E4"/>
  </mergeCells>
  <pageMargins left="0.75" right="0.75" top="1" bottom="1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A76C-1BA4-4851-AB96-9F3522B6FDC1}">
  <sheetPr codeName="Sheet8"/>
  <dimension ref="A1:D43"/>
  <sheetViews>
    <sheetView showGridLines="0" topLeftCell="A18" workbookViewId="0">
      <selection activeCell="A3" sqref="A3:G3"/>
    </sheetView>
  </sheetViews>
  <sheetFormatPr defaultColWidth="20.81640625" defaultRowHeight="12.5" outlineLevelCol="7" x14ac:dyDescent="0.25"/>
  <cols>
    <col min="1" max="1" width="3" customWidth="1" outlineLevel="7"/>
    <col min="2" max="2" width="72" customWidth="1" outlineLevel="7"/>
    <col min="3" max="3" width="15" customWidth="1" outlineLevel="7"/>
    <col min="4" max="4" width="14" customWidth="1" outlineLevel="7"/>
  </cols>
  <sheetData>
    <row r="1" spans="1:4" ht="15.5" x14ac:dyDescent="0.25">
      <c r="A1" s="8" t="str">
        <f>+'Income Statement'!A1</f>
        <v>BENEFITS MANAGEMENT COMPANY, INC. - FIN 5637 SPRING 2024 - STUDENT FILE</v>
      </c>
      <c r="B1" s="17"/>
    </row>
    <row r="2" spans="1:4" ht="13" x14ac:dyDescent="0.25">
      <c r="A2" s="9" t="s">
        <v>61</v>
      </c>
      <c r="B2" s="17"/>
    </row>
    <row r="3" spans="1:4" ht="13" x14ac:dyDescent="0.25">
      <c r="B3" s="17"/>
      <c r="C3" s="1" t="s">
        <v>0</v>
      </c>
      <c r="D3" s="6" t="s">
        <v>1</v>
      </c>
    </row>
    <row r="4" spans="1:4" ht="15.4" customHeight="1" x14ac:dyDescent="0.25">
      <c r="B4" s="1" t="s">
        <v>0</v>
      </c>
      <c r="C4" s="1" t="s">
        <v>0</v>
      </c>
      <c r="D4" s="6" t="s">
        <v>2</v>
      </c>
    </row>
    <row r="5" spans="1:4" ht="13" x14ac:dyDescent="0.25">
      <c r="B5" s="1" t="s">
        <v>3</v>
      </c>
      <c r="C5" s="11" t="s">
        <v>53</v>
      </c>
      <c r="D5" s="11" t="s">
        <v>54</v>
      </c>
    </row>
    <row r="6" spans="1:4" ht="13" x14ac:dyDescent="0.25">
      <c r="B6" s="5" t="s">
        <v>15</v>
      </c>
    </row>
    <row r="7" spans="1:4" ht="13" x14ac:dyDescent="0.25">
      <c r="B7" s="20" t="s">
        <v>16</v>
      </c>
    </row>
    <row r="8" spans="1:4" x14ac:dyDescent="0.25">
      <c r="B8" s="1" t="s">
        <v>17</v>
      </c>
      <c r="C8" s="2">
        <v>506</v>
      </c>
      <c r="D8" s="2">
        <v>218</v>
      </c>
    </row>
    <row r="9" spans="1:4" x14ac:dyDescent="0.25">
      <c r="B9" s="1" t="s">
        <v>18</v>
      </c>
      <c r="C9" s="3">
        <v>532</v>
      </c>
      <c r="D9" s="3">
        <v>665</v>
      </c>
    </row>
    <row r="10" spans="1:4" x14ac:dyDescent="0.25">
      <c r="B10" s="1" t="s">
        <v>19</v>
      </c>
      <c r="C10" s="18">
        <v>163</v>
      </c>
      <c r="D10" s="18">
        <v>125</v>
      </c>
    </row>
    <row r="11" spans="1:4" x14ac:dyDescent="0.25">
      <c r="B11" s="1" t="s">
        <v>48</v>
      </c>
      <c r="C11" s="3">
        <v>1201</v>
      </c>
      <c r="D11" s="3">
        <v>1008</v>
      </c>
    </row>
    <row r="12" spans="1:4" x14ac:dyDescent="0.25">
      <c r="B12" s="1" t="s">
        <v>20</v>
      </c>
      <c r="C12" s="18">
        <v>1030</v>
      </c>
      <c r="D12" s="18">
        <v>767</v>
      </c>
    </row>
    <row r="13" spans="1:4" x14ac:dyDescent="0.25">
      <c r="B13" s="1" t="s">
        <v>21</v>
      </c>
      <c r="C13" s="3">
        <v>2231</v>
      </c>
      <c r="D13" s="3">
        <v>1775</v>
      </c>
    </row>
    <row r="14" spans="1:4" x14ac:dyDescent="0.25">
      <c r="B14" s="1"/>
      <c r="C14" s="3"/>
      <c r="D14" s="3"/>
    </row>
    <row r="15" spans="1:4" x14ac:dyDescent="0.25">
      <c r="B15" s="1" t="s">
        <v>22</v>
      </c>
      <c r="C15" s="3">
        <v>2245</v>
      </c>
      <c r="D15" s="3">
        <v>2214</v>
      </c>
    </row>
    <row r="16" spans="1:4" x14ac:dyDescent="0.25">
      <c r="B16" s="1" t="s">
        <v>23</v>
      </c>
      <c r="C16" s="3">
        <v>1733</v>
      </c>
      <c r="D16" s="3">
        <v>1932</v>
      </c>
    </row>
    <row r="17" spans="2:4" x14ac:dyDescent="0.25">
      <c r="B17" s="1" t="s">
        <v>24</v>
      </c>
      <c r="C17" s="3">
        <v>334</v>
      </c>
      <c r="D17" s="3">
        <v>283</v>
      </c>
    </row>
    <row r="18" spans="2:4" x14ac:dyDescent="0.25">
      <c r="B18" s="1" t="s">
        <v>49</v>
      </c>
      <c r="C18" s="3">
        <v>5</v>
      </c>
      <c r="D18" s="3">
        <v>24</v>
      </c>
    </row>
    <row r="19" spans="2:4" x14ac:dyDescent="0.25">
      <c r="B19" s="1" t="s">
        <v>25</v>
      </c>
      <c r="C19" s="18">
        <v>408</v>
      </c>
      <c r="D19" s="18">
        <v>358</v>
      </c>
    </row>
    <row r="21" spans="2:4" ht="13.5" thickBot="1" x14ac:dyDescent="0.3">
      <c r="B21" s="5" t="s">
        <v>26</v>
      </c>
      <c r="C21" s="19">
        <v>6956</v>
      </c>
      <c r="D21" s="19">
        <v>6586</v>
      </c>
    </row>
    <row r="22" spans="2:4" ht="13" thickTop="1" x14ac:dyDescent="0.25"/>
    <row r="23" spans="2:4" ht="13" x14ac:dyDescent="0.25">
      <c r="B23" s="5" t="s">
        <v>27</v>
      </c>
    </row>
    <row r="24" spans="2:4" ht="13" x14ac:dyDescent="0.25">
      <c r="B24" s="20" t="s">
        <v>28</v>
      </c>
    </row>
    <row r="25" spans="2:4" x14ac:dyDescent="0.25">
      <c r="B25" s="1" t="s">
        <v>29</v>
      </c>
    </row>
    <row r="26" spans="2:4" x14ac:dyDescent="0.25">
      <c r="B26" s="1" t="s">
        <v>43</v>
      </c>
      <c r="C26" s="2">
        <v>394</v>
      </c>
      <c r="D26" s="2">
        <v>405</v>
      </c>
    </row>
    <row r="27" spans="2:4" x14ac:dyDescent="0.25">
      <c r="B27" s="1" t="s">
        <v>50</v>
      </c>
      <c r="C27" s="3">
        <v>37</v>
      </c>
      <c r="D27" s="3">
        <v>30</v>
      </c>
    </row>
    <row r="28" spans="2:4" x14ac:dyDescent="0.25">
      <c r="B28" s="1" t="s">
        <v>30</v>
      </c>
      <c r="C28" s="18">
        <v>324</v>
      </c>
      <c r="D28" s="18">
        <v>343</v>
      </c>
    </row>
    <row r="29" spans="2:4" x14ac:dyDescent="0.25">
      <c r="B29" s="1" t="s">
        <v>51</v>
      </c>
      <c r="C29" s="3">
        <v>755</v>
      </c>
      <c r="D29" s="3">
        <v>778</v>
      </c>
    </row>
    <row r="30" spans="2:4" x14ac:dyDescent="0.25">
      <c r="B30" s="1" t="s">
        <v>32</v>
      </c>
      <c r="C30" s="18">
        <v>1030</v>
      </c>
      <c r="D30" s="18">
        <v>767</v>
      </c>
    </row>
    <row r="31" spans="2:4" x14ac:dyDescent="0.25">
      <c r="B31" s="1" t="s">
        <v>31</v>
      </c>
      <c r="C31" s="3">
        <v>1785</v>
      </c>
      <c r="D31" s="3">
        <v>1545</v>
      </c>
    </row>
    <row r="32" spans="2:4" x14ac:dyDescent="0.25">
      <c r="B32" s="1"/>
      <c r="C32" s="3"/>
      <c r="D32" s="3"/>
    </row>
    <row r="33" spans="2:4" x14ac:dyDescent="0.25">
      <c r="B33" s="1" t="s">
        <v>33</v>
      </c>
      <c r="C33" s="4">
        <v>0</v>
      </c>
      <c r="D33" s="3">
        <v>12</v>
      </c>
    </row>
    <row r="34" spans="2:4" x14ac:dyDescent="0.25">
      <c r="B34" s="1" t="s">
        <v>34</v>
      </c>
      <c r="C34" s="3">
        <v>4041</v>
      </c>
      <c r="D34" s="3">
        <v>3770</v>
      </c>
    </row>
    <row r="35" spans="2:4" x14ac:dyDescent="0.25">
      <c r="B35" s="1" t="s">
        <v>35</v>
      </c>
      <c r="C35" s="18">
        <v>447</v>
      </c>
      <c r="D35" s="18">
        <v>454</v>
      </c>
    </row>
    <row r="37" spans="2:4" x14ac:dyDescent="0.25">
      <c r="B37" s="1" t="s">
        <v>36</v>
      </c>
      <c r="C37" s="2">
        <v>6273</v>
      </c>
      <c r="D37" s="2">
        <v>5781</v>
      </c>
    </row>
    <row r="40" spans="2:4" x14ac:dyDescent="0.25">
      <c r="B40" s="21" t="s">
        <v>60</v>
      </c>
      <c r="C40" s="22">
        <v>683</v>
      </c>
      <c r="D40" s="22">
        <v>805</v>
      </c>
    </row>
    <row r="42" spans="2:4" ht="13" thickBot="1" x14ac:dyDescent="0.3">
      <c r="B42" s="1" t="s">
        <v>52</v>
      </c>
      <c r="C42" s="19">
        <v>6956</v>
      </c>
      <c r="D42" s="19">
        <v>6586</v>
      </c>
    </row>
    <row r="43" spans="2:4" ht="13" thickTop="1" x14ac:dyDescent="0.25"/>
  </sheetData>
  <pageMargins left="0.75" right="0.75" top="1" bottom="1" header="0.5" footer="0.5"/>
  <pageSetup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C988-9F48-448C-B513-0C6BA57AF37F}">
  <dimension ref="A1:G22"/>
  <sheetViews>
    <sheetView showGridLines="0" workbookViewId="0">
      <selection activeCell="F20" sqref="F20"/>
    </sheetView>
  </sheetViews>
  <sheetFormatPr defaultRowHeight="12.5" x14ac:dyDescent="0.25"/>
  <cols>
    <col min="6" max="6" width="15.54296875" customWidth="1"/>
    <col min="7" max="7" width="14.54296875" customWidth="1"/>
  </cols>
  <sheetData>
    <row r="1" spans="1:7" ht="15.5" x14ac:dyDescent="0.25">
      <c r="A1" s="8" t="str">
        <f>+'Income Statement'!A1</f>
        <v>BENEFITS MANAGEMENT COMPANY, INC. - FIN 5637 SPRING 2024 - STUDENT FILE</v>
      </c>
    </row>
    <row r="2" spans="1:7" ht="13" x14ac:dyDescent="0.25">
      <c r="A2" s="5" t="s">
        <v>62</v>
      </c>
    </row>
    <row r="4" spans="1:7" ht="13" x14ac:dyDescent="0.25">
      <c r="A4" s="20" t="s">
        <v>69</v>
      </c>
    </row>
    <row r="5" spans="1:7" ht="13" x14ac:dyDescent="0.25">
      <c r="F5" s="29" t="s">
        <v>1</v>
      </c>
      <c r="G5" s="6" t="s">
        <v>1</v>
      </c>
    </row>
    <row r="6" spans="1:7" ht="13" x14ac:dyDescent="0.25">
      <c r="F6" s="29" t="s">
        <v>2</v>
      </c>
      <c r="G6" s="6" t="s">
        <v>2</v>
      </c>
    </row>
    <row r="7" spans="1:7" ht="13" x14ac:dyDescent="0.25">
      <c r="F7" s="11" t="s">
        <v>53</v>
      </c>
      <c r="G7" s="11" t="s">
        <v>54</v>
      </c>
    </row>
    <row r="9" spans="1:7" x14ac:dyDescent="0.25">
      <c r="A9" s="21" t="s">
        <v>9</v>
      </c>
      <c r="F9" s="10">
        <f>'Adjusted EBITDA'!C22</f>
        <v>564</v>
      </c>
      <c r="G9" s="10">
        <f>'Adjusted EBITDA'!D22</f>
        <v>596</v>
      </c>
    </row>
    <row r="11" spans="1:7" x14ac:dyDescent="0.25">
      <c r="A11" s="21" t="s">
        <v>63</v>
      </c>
      <c r="F11" s="30">
        <v>9</v>
      </c>
      <c r="G11" s="30">
        <v>10</v>
      </c>
    </row>
    <row r="13" spans="1:7" x14ac:dyDescent="0.25">
      <c r="A13" s="21" t="s">
        <v>64</v>
      </c>
      <c r="F13" s="31">
        <f>IF(OR(F9=0,F11=0),0,F9*F11)</f>
        <v>5076</v>
      </c>
      <c r="G13" s="31">
        <f>IF(OR(G9=0,G11=0),0,G9*G11)</f>
        <v>5960</v>
      </c>
    </row>
    <row r="15" spans="1:7" x14ac:dyDescent="0.25">
      <c r="A15" s="21" t="s">
        <v>65</v>
      </c>
      <c r="F15" s="23">
        <f>'Balance Sheet'!C8</f>
        <v>506</v>
      </c>
      <c r="G15" s="23">
        <f>'Balance Sheet'!D8</f>
        <v>218</v>
      </c>
    </row>
    <row r="16" spans="1:7" x14ac:dyDescent="0.25">
      <c r="A16" s="21" t="s">
        <v>70</v>
      </c>
      <c r="F16" s="24">
        <f>'Balance Sheet'!C27+'Balance Sheet'!C34</f>
        <v>4078</v>
      </c>
      <c r="G16" s="24">
        <f>'Balance Sheet'!D27+'Balance Sheet'!D34</f>
        <v>3800</v>
      </c>
    </row>
    <row r="18" spans="1:7" x14ac:dyDescent="0.25">
      <c r="A18" s="21" t="s">
        <v>66</v>
      </c>
      <c r="F18" s="31">
        <f>F13+F15-F16</f>
        <v>1504</v>
      </c>
      <c r="G18" s="31">
        <f>G13+G15-G16</f>
        <v>2378</v>
      </c>
    </row>
    <row r="20" spans="1:7" x14ac:dyDescent="0.25">
      <c r="A20" s="21" t="s">
        <v>67</v>
      </c>
      <c r="F20" s="32">
        <v>200</v>
      </c>
      <c r="G20" s="32">
        <v>200</v>
      </c>
    </row>
    <row r="22" spans="1:7" x14ac:dyDescent="0.25">
      <c r="A22" s="21" t="s">
        <v>68</v>
      </c>
      <c r="F22" s="33">
        <f>IFERROR(F18/F20,0)</f>
        <v>7.52</v>
      </c>
      <c r="G22" s="33">
        <f>IFERROR(G18/G20,0)</f>
        <v>11.89</v>
      </c>
    </row>
  </sheetData>
  <pageMargins left="0.7" right="0.7" top="0.75" bottom="0.75" header="0.3" footer="0.3"/>
  <pageSetup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DBC5-2DC7-4D96-B805-5B1A738066C4}">
  <dimension ref="A1:G22"/>
  <sheetViews>
    <sheetView showGridLines="0" tabSelected="1" workbookViewId="0">
      <selection activeCell="J18" sqref="J18"/>
    </sheetView>
  </sheetViews>
  <sheetFormatPr defaultRowHeight="12.5" x14ac:dyDescent="0.25"/>
  <cols>
    <col min="6" max="6" width="15.54296875" customWidth="1"/>
    <col min="7" max="7" width="14.54296875" customWidth="1"/>
  </cols>
  <sheetData>
    <row r="1" spans="1:7" ht="15.5" x14ac:dyDescent="0.25">
      <c r="A1" s="8" t="str">
        <f>+'Income Statement'!A1</f>
        <v>BENEFITS MANAGEMENT COMPANY, INC. - FIN 5637 SPRING 2024 - STUDENT FILE</v>
      </c>
    </row>
    <row r="2" spans="1:7" ht="13" x14ac:dyDescent="0.25">
      <c r="A2" s="5" t="s">
        <v>62</v>
      </c>
    </row>
    <row r="4" spans="1:7" ht="13" x14ac:dyDescent="0.25">
      <c r="A4" s="20" t="s">
        <v>69</v>
      </c>
    </row>
    <row r="5" spans="1:7" ht="13" x14ac:dyDescent="0.25">
      <c r="F5" s="29" t="s">
        <v>1</v>
      </c>
      <c r="G5" s="6" t="s">
        <v>1</v>
      </c>
    </row>
    <row r="6" spans="1:7" ht="13" x14ac:dyDescent="0.25">
      <c r="F6" s="29" t="s">
        <v>2</v>
      </c>
      <c r="G6" s="6" t="s">
        <v>2</v>
      </c>
    </row>
    <row r="7" spans="1:7" ht="13" x14ac:dyDescent="0.25">
      <c r="F7" s="11" t="s">
        <v>53</v>
      </c>
      <c r="G7" s="11" t="s">
        <v>54</v>
      </c>
    </row>
    <row r="9" spans="1:7" x14ac:dyDescent="0.25">
      <c r="A9" s="21" t="s">
        <v>37</v>
      </c>
      <c r="F9" s="10">
        <f>'Income Statement'!C6</f>
        <v>2728</v>
      </c>
      <c r="G9" s="10">
        <f>'Income Statement'!D6</f>
        <v>2552</v>
      </c>
    </row>
    <row r="11" spans="1:7" x14ac:dyDescent="0.25">
      <c r="A11" s="21" t="s">
        <v>63</v>
      </c>
      <c r="F11" s="30">
        <v>1.5</v>
      </c>
      <c r="G11" s="30">
        <v>1.7</v>
      </c>
    </row>
    <row r="13" spans="1:7" x14ac:dyDescent="0.25">
      <c r="A13" s="21" t="s">
        <v>64</v>
      </c>
      <c r="F13" s="31">
        <f>IF(OR(F9=0,F11=0),0,F9*F11)</f>
        <v>4092</v>
      </c>
      <c r="G13" s="31">
        <f>IF(OR(G9=0,G11=0),0,G9*G11)</f>
        <v>4338.3999999999996</v>
      </c>
    </row>
    <row r="15" spans="1:7" x14ac:dyDescent="0.25">
      <c r="A15" s="21" t="s">
        <v>65</v>
      </c>
      <c r="F15" s="23">
        <f>'Balance Sheet'!C8</f>
        <v>506</v>
      </c>
      <c r="G15" s="23">
        <f>'Balance Sheet'!D8</f>
        <v>218</v>
      </c>
    </row>
    <row r="16" spans="1:7" x14ac:dyDescent="0.25">
      <c r="A16" s="21" t="s">
        <v>70</v>
      </c>
      <c r="F16" s="24">
        <f>'Balance Sheet'!C27+'Balance Sheet'!C34</f>
        <v>4078</v>
      </c>
      <c r="G16" s="24">
        <f>'Balance Sheet'!D27+'Balance Sheet'!D34</f>
        <v>3800</v>
      </c>
    </row>
    <row r="18" spans="1:7" x14ac:dyDescent="0.25">
      <c r="A18" s="21" t="s">
        <v>66</v>
      </c>
      <c r="F18" s="31">
        <f>F13+F15-F16</f>
        <v>520</v>
      </c>
      <c r="G18" s="31">
        <f>G13+G15-G16</f>
        <v>756.39999999999964</v>
      </c>
    </row>
    <row r="20" spans="1:7" x14ac:dyDescent="0.25">
      <c r="A20" s="21" t="s">
        <v>67</v>
      </c>
      <c r="F20" s="32">
        <v>200</v>
      </c>
      <c r="G20" s="32">
        <v>200</v>
      </c>
    </row>
    <row r="22" spans="1:7" x14ac:dyDescent="0.25">
      <c r="A22" s="21" t="s">
        <v>68</v>
      </c>
      <c r="F22" s="33">
        <f>IFERROR(F18/F20,0)</f>
        <v>2.6</v>
      </c>
      <c r="G22" s="33">
        <f>IFERROR(G18/G20,0)</f>
        <v>3.7819999999999983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Income Statement</vt:lpstr>
      <vt:lpstr>Adjusted EBITDA</vt:lpstr>
      <vt:lpstr>Balance Sheet</vt:lpstr>
      <vt:lpstr>Valuation EBITDA</vt:lpstr>
      <vt:lpstr>Valuation Revenue</vt:lpstr>
      <vt:lpstr>'Adjusted EBITDA'!Print_Area</vt:lpstr>
      <vt:lpstr>'Balance Sheet'!Print_Area</vt:lpstr>
      <vt:lpstr>'Income Statement'!Print_Area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 5637 SPRING 2024</dc:title>
  <dc:creator>Thomas Kenny</dc:creator>
  <cp:keywords>IPO Case</cp:keywords>
  <cp:lastModifiedBy>Prabin Pandey</cp:lastModifiedBy>
  <cp:lastPrinted>2022-07-26T21:41:55Z</cp:lastPrinted>
  <dcterms:created xsi:type="dcterms:W3CDTF">2022-05-11T18:09:56Z</dcterms:created>
  <dcterms:modified xsi:type="dcterms:W3CDTF">2026-02-23T15:27:15Z</dcterms:modified>
</cp:coreProperties>
</file>