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tuprd-my.sharepoint.com/personal/tuu00197_temple_edu/Documents/Desktop/Generative AI/Start using Claude Code/claude_portfolio/Excel Project/"/>
    </mc:Choice>
  </mc:AlternateContent>
  <xr:revisionPtr revIDLastSave="0" documentId="8_{8717E280-254A-4512-B469-26BA73F63B0B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Overview" sheetId="1" r:id="rId1"/>
    <sheet name="Transaction" sheetId="6" r:id="rId2"/>
    <sheet name="Financials" sheetId="5" r:id="rId3"/>
    <sheet name="Exit Analysis" sheetId="8" r:id="rId4"/>
  </sheets>
  <definedNames>
    <definedName name="_xlnm.Print_Area" localSheetId="3">'Exit Analysis'!$A$13:$G$65</definedName>
    <definedName name="_xlnm.Print_Area" localSheetId="2">Financials!$A$1:$H$31</definedName>
    <definedName name="_xlnm.Print_Area" localSheetId="0">Overview!$A$1:$M$25</definedName>
    <definedName name="_xlnm.Print_Area" localSheetId="1">Transaction!$A$1:$I$19</definedName>
    <definedName name="_xlnm.Print_Titles" localSheetId="3">'Exit Analysis'!$1:$11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9" i="8" l="1"/>
  <c r="E59" i="8"/>
  <c r="D59" i="8"/>
  <c r="B59" i="8"/>
  <c r="F58" i="8"/>
  <c r="E58" i="8"/>
  <c r="D58" i="8"/>
  <c r="B58" i="8"/>
  <c r="F57" i="8"/>
  <c r="E57" i="8"/>
  <c r="D57" i="8"/>
  <c r="B57" i="8"/>
  <c r="F56" i="8"/>
  <c r="E56" i="8"/>
  <c r="D56" i="8"/>
  <c r="B56" i="8"/>
  <c r="F53" i="8"/>
  <c r="E53" i="8"/>
  <c r="D53" i="8"/>
  <c r="B53" i="8"/>
  <c r="F52" i="8"/>
  <c r="E52" i="8"/>
  <c r="D52" i="8"/>
  <c r="B52" i="8"/>
  <c r="F51" i="8"/>
  <c r="E51" i="8"/>
  <c r="D51" i="8"/>
  <c r="B51" i="8"/>
  <c r="F50" i="8"/>
  <c r="E50" i="8"/>
  <c r="D50" i="8"/>
  <c r="B50" i="8"/>
  <c r="F47" i="8"/>
  <c r="E47" i="8"/>
  <c r="D47" i="8"/>
  <c r="B47" i="8"/>
  <c r="F46" i="8"/>
  <c r="E46" i="8"/>
  <c r="D46" i="8"/>
  <c r="B46" i="8"/>
  <c r="F45" i="8"/>
  <c r="E45" i="8"/>
  <c r="D45" i="8"/>
  <c r="B45" i="8"/>
  <c r="F41" i="8"/>
  <c r="E41" i="8"/>
  <c r="D41" i="8"/>
  <c r="F40" i="8"/>
  <c r="E40" i="8"/>
  <c r="D40" i="8"/>
  <c r="F39" i="8"/>
  <c r="E39" i="8"/>
  <c r="D39" i="8"/>
  <c r="F38" i="8"/>
  <c r="F44" i="8" s="1"/>
  <c r="E38" i="8"/>
  <c r="E44" i="8" s="1"/>
  <c r="D38" i="8"/>
  <c r="D44" i="8"/>
  <c r="B44" i="8"/>
  <c r="B41" i="8"/>
  <c r="B40" i="8"/>
  <c r="B39" i="8"/>
  <c r="B38" i="8"/>
  <c r="F33" i="8"/>
  <c r="E33" i="8"/>
  <c r="D33" i="8"/>
  <c r="B33" i="8"/>
  <c r="F32" i="8"/>
  <c r="E32" i="8"/>
  <c r="D32" i="8"/>
  <c r="B32" i="8"/>
  <c r="F31" i="8"/>
  <c r="E31" i="8"/>
  <c r="D31" i="8"/>
  <c r="B31" i="8"/>
  <c r="F30" i="8"/>
  <c r="E30" i="8"/>
  <c r="D30" i="8"/>
  <c r="B30" i="8"/>
  <c r="F5" i="6"/>
  <c r="F26" i="8"/>
  <c r="E26" i="8"/>
  <c r="D26" i="8"/>
  <c r="F24" i="8"/>
  <c r="E24" i="8"/>
  <c r="D24" i="8"/>
  <c r="B24" i="8"/>
  <c r="F23" i="8"/>
  <c r="E23" i="8"/>
  <c r="D23" i="8"/>
  <c r="B23" i="8"/>
  <c r="F22" i="8"/>
  <c r="E22" i="8"/>
  <c r="D22" i="8"/>
  <c r="B22" i="8"/>
  <c r="F21" i="8"/>
  <c r="E21" i="8"/>
  <c r="D21" i="8"/>
  <c r="B21" i="8"/>
  <c r="F17" i="8"/>
  <c r="E17" i="8"/>
  <c r="D17" i="8"/>
  <c r="F15" i="8"/>
  <c r="E15" i="8"/>
  <c r="D15" i="8"/>
  <c r="F14" i="8"/>
  <c r="E14" i="8"/>
  <c r="D14" i="8"/>
  <c r="F13" i="8"/>
  <c r="E13" i="8"/>
  <c r="D13" i="8"/>
  <c r="F12" i="8"/>
  <c r="E12" i="8"/>
  <c r="D12" i="8"/>
  <c r="F9" i="8"/>
  <c r="E9" i="8"/>
  <c r="D9" i="8"/>
  <c r="A2" i="8"/>
  <c r="H30" i="5"/>
  <c r="G30" i="5"/>
  <c r="F30" i="5"/>
  <c r="E30" i="5"/>
  <c r="D30" i="5"/>
  <c r="C30" i="5"/>
  <c r="B30" i="5"/>
  <c r="H28" i="5"/>
  <c r="G28" i="5"/>
  <c r="F28" i="5"/>
  <c r="E28" i="5"/>
  <c r="D28" i="5"/>
  <c r="C28" i="5"/>
  <c r="H26" i="5"/>
  <c r="G26" i="5"/>
  <c r="F26" i="5"/>
  <c r="E26" i="5"/>
  <c r="D26" i="5"/>
  <c r="C26" i="5"/>
  <c r="H25" i="5"/>
  <c r="G25" i="5"/>
  <c r="F25" i="5"/>
  <c r="E25" i="5"/>
  <c r="D25" i="5"/>
  <c r="C25" i="5"/>
  <c r="H21" i="5"/>
  <c r="G21" i="5"/>
  <c r="F21" i="5"/>
  <c r="E21" i="5"/>
  <c r="D21" i="5"/>
  <c r="C21" i="5"/>
  <c r="H20" i="5"/>
  <c r="G20" i="5"/>
  <c r="F20" i="5"/>
  <c r="E20" i="5"/>
  <c r="D20" i="5"/>
  <c r="C20" i="5"/>
  <c r="H18" i="5"/>
  <c r="G18" i="5"/>
  <c r="F18" i="5"/>
  <c r="E18" i="5"/>
  <c r="D18" i="5"/>
  <c r="C18" i="5"/>
  <c r="H13" i="5"/>
  <c r="G13" i="5"/>
  <c r="F13" i="5"/>
  <c r="E13" i="5"/>
  <c r="D13" i="5"/>
  <c r="C13" i="5"/>
  <c r="H12" i="5"/>
  <c r="G12" i="5"/>
  <c r="F12" i="5"/>
  <c r="E12" i="5"/>
  <c r="D12" i="5"/>
  <c r="C12" i="5"/>
  <c r="H8" i="5"/>
  <c r="G8" i="5"/>
  <c r="F8" i="5"/>
  <c r="E8" i="5"/>
  <c r="D8" i="5"/>
  <c r="A2" i="5"/>
  <c r="F10" i="6"/>
  <c r="E10" i="6"/>
  <c r="F9" i="6" s="1"/>
  <c r="F7" i="6" l="1"/>
  <c r="F8" i="6"/>
  <c r="F3" i="6" l="1"/>
  <c r="E13" i="6" s="1"/>
  <c r="E15" i="6" l="1"/>
  <c r="F14" i="6" s="1"/>
  <c r="F13" i="6" l="1"/>
  <c r="F15" i="6" s="1"/>
</calcChain>
</file>

<file path=xl/sharedStrings.xml><?xml version="1.0" encoding="utf-8"?>
<sst xmlns="http://schemas.openxmlformats.org/spreadsheetml/2006/main" count="77" uniqueCount="61">
  <si>
    <t>TRANSACTION</t>
  </si>
  <si>
    <t>Revenue</t>
  </si>
  <si>
    <t>Cost of Goods Sold</t>
  </si>
  <si>
    <t>Gross Profit</t>
  </si>
  <si>
    <t>Selling and Marketing Expenses</t>
  </si>
  <si>
    <t>General and Administrative</t>
  </si>
  <si>
    <t>Depreciation and Amortization</t>
  </si>
  <si>
    <t>Total Expenses</t>
  </si>
  <si>
    <t>EBIT</t>
  </si>
  <si>
    <t>$ in millions</t>
  </si>
  <si>
    <t>Growth Rate</t>
  </si>
  <si>
    <t>Gross Profit Margin</t>
  </si>
  <si>
    <t>EBIT Margin</t>
  </si>
  <si>
    <t>Sources</t>
  </si>
  <si>
    <t>Equity</t>
  </si>
  <si>
    <t>Uses</t>
  </si>
  <si>
    <t>Purchase Price</t>
  </si>
  <si>
    <t>Total Sources</t>
  </si>
  <si>
    <t>Transaction Expenses</t>
  </si>
  <si>
    <t>Total Uses</t>
  </si>
  <si>
    <t>Term Loan</t>
  </si>
  <si>
    <t>Subordinated Notes</t>
  </si>
  <si>
    <t>Beginning Balance</t>
  </si>
  <si>
    <t>EXIT ANALYSIS</t>
  </si>
  <si>
    <t>Years Until Exit</t>
  </si>
  <si>
    <t>EBITDA</t>
  </si>
  <si>
    <t>Initial Equity Investment</t>
  </si>
  <si>
    <t>RPG Corp.</t>
  </si>
  <si>
    <t>RPG CORP.</t>
  </si>
  <si>
    <t>PROJECTIONS</t>
  </si>
  <si>
    <t>Year 1</t>
  </si>
  <si>
    <t>Year 2</t>
  </si>
  <si>
    <t>Year 3</t>
  </si>
  <si>
    <t>Year 4</t>
  </si>
  <si>
    <t>Year 5</t>
  </si>
  <si>
    <t>Year 6</t>
  </si>
  <si>
    <t>FIN 5637 CLASSWORK EXIT ANALYSIS WEEK 3</t>
  </si>
  <si>
    <t>Multiple</t>
  </si>
  <si>
    <t>Amount</t>
  </si>
  <si>
    <t>% of Total</t>
  </si>
  <si>
    <t>Term Debt</t>
  </si>
  <si>
    <t>—</t>
  </si>
  <si>
    <t>Debt Schedule</t>
  </si>
  <si>
    <t xml:space="preserve">  Principal Payment Rate</t>
  </si>
  <si>
    <t xml:space="preserve">  Ending Balance</t>
  </si>
  <si>
    <t>Total Debt Outstanding</t>
  </si>
  <si>
    <t>Target Return (Hurdle Rate)</t>
  </si>
  <si>
    <t>Management Interest (if hurdle met)</t>
  </si>
  <si>
    <t>Exit Multiple</t>
  </si>
  <si>
    <t>Debt Outstanding at Exit</t>
  </si>
  <si>
    <t>(No cash add-back assumed)</t>
  </si>
  <si>
    <t>EQUITY VALUE AT EXIT</t>
  </si>
  <si>
    <t>KEY ASSUMPTIONS</t>
  </si>
  <si>
    <t>EBITDA at Exit</t>
  </si>
  <si>
    <t>ENTERPRISE VALUE AT EXIT</t>
  </si>
  <si>
    <t>GROSS IRR (Pre-Mgmt)</t>
  </si>
  <si>
    <t>Target Achieved?</t>
  </si>
  <si>
    <t>HURDLE ACHIEVED?</t>
  </si>
  <si>
    <t>BAIN OWNERSHIP %</t>
  </si>
  <si>
    <t>BAIN EQUITY VALUE</t>
  </si>
  <si>
    <t>NET IRR (Post-Mgmt)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</si>
</sst>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0.0%"/>
    <numFmt numFmtId="167" formatCode="#,##0.0"/>
    <numFmt numFmtId="169" formatCode="&quot;$&quot;#,##0"/>
    <numFmt numFmtId="170" formatCode="&quot;$&quot;#,##0.0"/>
    <numFmt numFmtId="171" formatCode="\(&quot;$&quot;#,##0\)"/>
    <numFmt numFmtId="172" formatCode="0.0&quot;x&quot;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"/>
      <color indexed="9"/>
      <name val="Symbol"/>
      <family val="1"/>
      <charset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404040"/>
      <name val="Calibri"/>
      <family val="2"/>
      <scheme val="minor"/>
    </font>
    <font>
      <b/>
      <i/>
      <sz val="10"/>
      <color rgb="FF40404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 val="singleAccounting"/>
      <sz val="11"/>
      <color rgb="FF0070C0"/>
      <name val="Calibri"/>
      <family val="2"/>
      <scheme val="minor"/>
    </font>
    <font>
      <b/>
      <i/>
      <sz val="10"/>
      <color rgb="FF80808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rgb="FF80808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rgb="FF1F4E79"/>
      </bottom>
      <diagonal/>
    </border>
    <border>
      <left/>
      <right/>
      <top/>
      <bottom style="thin">
        <color rgb="FF1F4E79"/>
      </bottom>
      <diagonal/>
    </border>
    <border>
      <left/>
      <right/>
      <top style="double">
        <color rgb="FF1F4E79"/>
      </top>
      <bottom style="thin">
        <color rgb="FF1F4E79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6">
    <xf numFmtId="0" fontId="0" fillId="0" borderId="0"/>
    <xf numFmtId="0" fontId="1" fillId="0" borderId="0"/>
    <xf numFmtId="0" fontId="2" fillId="0" borderId="0" applyAlignment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5">
    <xf numFmtId="0" fontId="0" fillId="0" borderId="0" xfId="0"/>
    <xf numFmtId="9" fontId="5" fillId="0" borderId="0" xfId="5" applyFont="1"/>
    <xf numFmtId="9" fontId="5" fillId="0" borderId="0" xfId="5" applyFont="1" applyAlignment="1">
      <alignment horizontal="right"/>
    </xf>
    <xf numFmtId="165" fontId="5" fillId="0" borderId="0" xfId="5" applyNumberFormat="1" applyFont="1"/>
    <xf numFmtId="165" fontId="5" fillId="0" borderId="0" xfId="5" applyNumberFormat="1" applyFont="1" applyAlignment="1">
      <alignment horizontal="right"/>
    </xf>
    <xf numFmtId="0" fontId="6" fillId="0" borderId="0" xfId="0" applyFont="1"/>
    <xf numFmtId="0" fontId="4" fillId="0" borderId="0" xfId="0" applyFont="1"/>
    <xf numFmtId="0" fontId="0" fillId="0" borderId="1" xfId="0" applyBorder="1"/>
    <xf numFmtId="0" fontId="7" fillId="2" borderId="0" xfId="0" applyFont="1" applyFill="1"/>
    <xf numFmtId="0" fontId="10" fillId="3" borderId="0" xfId="0" applyFont="1" applyFill="1"/>
    <xf numFmtId="0" fontId="10" fillId="3" borderId="0" xfId="0" applyFont="1" applyFill="1" applyAlignment="1">
      <alignment horizontal="center"/>
    </xf>
    <xf numFmtId="0" fontId="11" fillId="4" borderId="0" xfId="0" applyFont="1" applyFill="1"/>
    <xf numFmtId="0" fontId="11" fillId="4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167" fontId="16" fillId="0" borderId="0" xfId="0" applyNumberFormat="1" applyFont="1" applyAlignment="1">
      <alignment horizontal="right"/>
    </xf>
    <xf numFmtId="0" fontId="19" fillId="5" borderId="3" xfId="0" applyFont="1" applyFill="1" applyBorder="1"/>
    <xf numFmtId="0" fontId="0" fillId="5" borderId="3" xfId="0" applyFill="1" applyBorder="1"/>
    <xf numFmtId="0" fontId="20" fillId="5" borderId="3" xfId="0" applyFont="1" applyFill="1" applyBorder="1" applyAlignment="1">
      <alignment horizontal="center"/>
    </xf>
    <xf numFmtId="169" fontId="18" fillId="0" borderId="0" xfId="0" applyNumberFormat="1" applyFont="1" applyBorder="1" applyAlignment="1">
      <alignment horizontal="right"/>
    </xf>
    <xf numFmtId="0" fontId="20" fillId="5" borderId="4" xfId="0" applyFont="1" applyFill="1" applyBorder="1" applyAlignment="1">
      <alignment horizontal="center"/>
    </xf>
    <xf numFmtId="0" fontId="0" fillId="0" borderId="0" xfId="0" applyFont="1"/>
    <xf numFmtId="169" fontId="7" fillId="2" borderId="0" xfId="4" applyNumberFormat="1" applyFont="1" applyFill="1" applyAlignment="1">
      <alignment horizontal="right"/>
    </xf>
    <xf numFmtId="165" fontId="0" fillId="0" borderId="0" xfId="5" applyNumberFormat="1" applyFont="1" applyAlignment="1">
      <alignment horizontal="right"/>
    </xf>
    <xf numFmtId="169" fontId="7" fillId="2" borderId="0" xfId="3" applyNumberFormat="1" applyFont="1" applyFill="1" applyAlignment="1">
      <alignment horizontal="right"/>
    </xf>
    <xf numFmtId="169" fontId="7" fillId="2" borderId="5" xfId="3" applyNumberFormat="1" applyFont="1" applyFill="1" applyBorder="1" applyAlignment="1">
      <alignment horizontal="right"/>
    </xf>
    <xf numFmtId="169" fontId="7" fillId="2" borderId="0" xfId="3" applyNumberFormat="1" applyFont="1" applyFill="1" applyBorder="1" applyAlignment="1">
      <alignment horizontal="right"/>
    </xf>
    <xf numFmtId="169" fontId="4" fillId="2" borderId="6" xfId="0" applyNumberFormat="1" applyFont="1" applyFill="1" applyBorder="1" applyAlignment="1">
      <alignment horizontal="right"/>
    </xf>
    <xf numFmtId="165" fontId="0" fillId="0" borderId="0" xfId="5" applyNumberFormat="1" applyFont="1" applyBorder="1" applyAlignment="1">
      <alignment horizontal="right"/>
    </xf>
    <xf numFmtId="165" fontId="4" fillId="0" borderId="6" xfId="5" applyNumberFormat="1" applyFont="1" applyBorder="1" applyAlignment="1">
      <alignment horizontal="right"/>
    </xf>
    <xf numFmtId="169" fontId="8" fillId="2" borderId="0" xfId="4" applyNumberFormat="1" applyFont="1" applyFill="1" applyBorder="1" applyAlignment="1">
      <alignment horizontal="right"/>
    </xf>
    <xf numFmtId="165" fontId="0" fillId="0" borderId="0" xfId="0" applyNumberFormat="1" applyFont="1" applyAlignment="1">
      <alignment horizontal="right"/>
    </xf>
    <xf numFmtId="169" fontId="21" fillId="2" borderId="0" xfId="3" applyNumberFormat="1" applyFont="1" applyFill="1" applyBorder="1" applyAlignment="1">
      <alignment horizontal="right"/>
    </xf>
    <xf numFmtId="165" fontId="0" fillId="0" borderId="0" xfId="0" applyNumberFormat="1" applyFont="1" applyBorder="1" applyAlignment="1">
      <alignment horizontal="right"/>
    </xf>
    <xf numFmtId="165" fontId="4" fillId="0" borderId="6" xfId="0" applyNumberFormat="1" applyFont="1" applyBorder="1" applyAlignment="1">
      <alignment horizontal="right"/>
    </xf>
    <xf numFmtId="0" fontId="14" fillId="0" borderId="0" xfId="0" quotePrefix="1" applyFont="1"/>
    <xf numFmtId="0" fontId="19" fillId="5" borderId="3" xfId="0" applyFont="1" applyFill="1" applyBorder="1" applyAlignment="1">
      <alignment horizontal="center"/>
    </xf>
    <xf numFmtId="169" fontId="7" fillId="0" borderId="0" xfId="4" applyNumberFormat="1" applyFont="1"/>
    <xf numFmtId="9" fontId="14" fillId="0" borderId="0" xfId="5" applyFont="1"/>
    <xf numFmtId="9" fontId="22" fillId="0" borderId="0" xfId="5" applyFont="1" applyAlignment="1">
      <alignment horizontal="right"/>
    </xf>
    <xf numFmtId="165" fontId="14" fillId="0" borderId="0" xfId="5" applyNumberFormat="1" applyFont="1" applyAlignment="1">
      <alignment horizontal="right"/>
    </xf>
    <xf numFmtId="169" fontId="7" fillId="0" borderId="5" xfId="3" applyNumberFormat="1" applyFont="1" applyBorder="1"/>
    <xf numFmtId="169" fontId="4" fillId="0" borderId="0" xfId="0" applyNumberFormat="1" applyFont="1"/>
    <xf numFmtId="170" fontId="7" fillId="0" borderId="0" xfId="3" applyNumberFormat="1" applyFont="1"/>
    <xf numFmtId="170" fontId="7" fillId="0" borderId="0" xfId="3" applyNumberFormat="1" applyFont="1" applyBorder="1"/>
    <xf numFmtId="170" fontId="4" fillId="0" borderId="7" xfId="0" applyNumberFormat="1" applyFont="1" applyBorder="1"/>
    <xf numFmtId="170" fontId="15" fillId="0" borderId="2" xfId="4" applyNumberFormat="1" applyFont="1" applyBorder="1"/>
    <xf numFmtId="0" fontId="19" fillId="5" borderId="3" xfId="0" applyFont="1" applyFill="1" applyBorder="1" applyAlignment="1">
      <alignment horizontal="center" wrapText="1"/>
    </xf>
    <xf numFmtId="169" fontId="7" fillId="0" borderId="0" xfId="4" applyNumberFormat="1" applyFont="1" applyAlignment="1">
      <alignment horizontal="right"/>
    </xf>
    <xf numFmtId="165" fontId="7" fillId="2" borderId="0" xfId="5" applyNumberFormat="1" applyFont="1" applyFill="1" applyAlignment="1">
      <alignment horizontal="right"/>
    </xf>
    <xf numFmtId="171" fontId="6" fillId="2" borderId="0" xfId="4" applyNumberFormat="1" applyFont="1" applyFill="1" applyAlignment="1">
      <alignment horizontal="right"/>
    </xf>
    <xf numFmtId="169" fontId="7" fillId="0" borderId="5" xfId="3" applyNumberFormat="1" applyFont="1" applyBorder="1" applyAlignment="1">
      <alignment horizontal="right"/>
    </xf>
    <xf numFmtId="169" fontId="0" fillId="0" borderId="5" xfId="3" applyNumberFormat="1" applyFont="1" applyBorder="1" applyAlignment="1">
      <alignment horizontal="right"/>
    </xf>
    <xf numFmtId="169" fontId="15" fillId="0" borderId="2" xfId="4" applyNumberFormat="1" applyFont="1" applyBorder="1" applyAlignment="1">
      <alignment horizontal="right"/>
    </xf>
    <xf numFmtId="0" fontId="20" fillId="5" borderId="3" xfId="0" applyFont="1" applyFill="1" applyBorder="1"/>
    <xf numFmtId="0" fontId="0" fillId="0" borderId="0" xfId="0" applyBorder="1"/>
    <xf numFmtId="169" fontId="0" fillId="6" borderId="0" xfId="0" applyNumberFormat="1" applyFont="1" applyFill="1" applyAlignment="1">
      <alignment horizontal="right"/>
    </xf>
    <xf numFmtId="172" fontId="0" fillId="0" borderId="0" xfId="0" applyNumberFormat="1" applyFont="1" applyAlignment="1">
      <alignment horizontal="center"/>
    </xf>
    <xf numFmtId="169" fontId="0" fillId="6" borderId="8" xfId="0" applyNumberFormat="1" applyFont="1" applyFill="1" applyBorder="1" applyAlignment="1">
      <alignment horizontal="right"/>
    </xf>
    <xf numFmtId="165" fontId="0" fillId="6" borderId="0" xfId="0" applyNumberFormat="1" applyFont="1" applyFill="1" applyAlignment="1">
      <alignment horizontal="right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170" fontId="16" fillId="0" borderId="8" xfId="0" applyNumberFormat="1" applyFont="1" applyBorder="1" applyAlignment="1">
      <alignment horizontal="right"/>
    </xf>
    <xf numFmtId="0" fontId="23" fillId="5" borderId="3" xfId="0" applyFont="1" applyFill="1" applyBorder="1" applyAlignment="1">
      <alignment horizontal="center"/>
    </xf>
    <xf numFmtId="172" fontId="7" fillId="0" borderId="0" xfId="0" applyNumberFormat="1" applyFont="1" applyAlignment="1">
      <alignment horizontal="center"/>
    </xf>
    <xf numFmtId="169" fontId="8" fillId="6" borderId="0" xfId="0" applyNumberFormat="1" applyFont="1" applyFill="1" applyBorder="1" applyAlignment="1">
      <alignment horizontal="right"/>
    </xf>
    <xf numFmtId="0" fontId="24" fillId="0" borderId="0" xfId="0" applyFont="1"/>
    <xf numFmtId="169" fontId="16" fillId="6" borderId="0" xfId="0" applyNumberFormat="1" applyFont="1" applyFill="1" applyBorder="1" applyAlignment="1">
      <alignment horizontal="right"/>
    </xf>
    <xf numFmtId="165" fontId="0" fillId="6" borderId="8" xfId="0" applyNumberFormat="1" applyFont="1" applyFill="1" applyBorder="1" applyAlignment="1">
      <alignment horizontal="right"/>
    </xf>
    <xf numFmtId="0" fontId="0" fillId="6" borderId="0" xfId="0" applyFont="1" applyFill="1" applyAlignment="1">
      <alignment horizontal="center"/>
    </xf>
    <xf numFmtId="0" fontId="0" fillId="6" borderId="8" xfId="0" applyFont="1" applyFill="1" applyBorder="1" applyAlignment="1">
      <alignment horizontal="center"/>
    </xf>
    <xf numFmtId="165" fontId="0" fillId="6" borderId="0" xfId="0" applyNumberFormat="1" applyFont="1" applyFill="1" applyAlignment="1">
      <alignment horizontal="center"/>
    </xf>
    <xf numFmtId="165" fontId="0" fillId="6" borderId="8" xfId="0" applyNumberFormat="1" applyFont="1" applyFill="1" applyBorder="1" applyAlignment="1">
      <alignment horizontal="center"/>
    </xf>
    <xf numFmtId="0" fontId="20" fillId="3" borderId="3" xfId="0" applyFont="1" applyFill="1" applyBorder="1"/>
    <xf numFmtId="0" fontId="23" fillId="3" borderId="3" xfId="0" applyFont="1" applyFill="1" applyBorder="1" applyAlignment="1">
      <alignment horizontal="center"/>
    </xf>
    <xf numFmtId="0" fontId="0" fillId="3" borderId="3" xfId="0" applyFill="1" applyBorder="1"/>
    <xf numFmtId="165" fontId="4" fillId="7" borderId="0" xfId="0" applyNumberFormat="1" applyFont="1" applyFill="1" applyAlignment="1">
      <alignment horizontal="right"/>
    </xf>
    <xf numFmtId="165" fontId="4" fillId="7" borderId="2" xfId="0" applyNumberFormat="1" applyFont="1" applyFill="1" applyBorder="1" applyAlignment="1">
      <alignment horizontal="right"/>
    </xf>
    <xf numFmtId="172" fontId="17" fillId="0" borderId="0" xfId="0" applyNumberFormat="1" applyFont="1" applyAlignment="1">
      <alignment horizontal="right"/>
    </xf>
    <xf numFmtId="0" fontId="0" fillId="0" borderId="0" xfId="0" applyBorder="1" applyAlignment="1">
      <alignment horizontal="center"/>
    </xf>
  </cellXfs>
  <cellStyles count="6">
    <cellStyle name="Comma" xfId="3" builtinId="3"/>
    <cellStyle name="Currency" xfId="4" builtinId="4"/>
    <cellStyle name="Invisible" xfId="2" xr:uid="{00000000-0005-0000-0000-000002000000}"/>
    <cellStyle name="Normal" xfId="0" builtinId="0"/>
    <cellStyle name="Normal 2" xfId="1" xr:uid="{00000000-0005-0000-0000-000004000000}"/>
    <cellStyle name="Percent" xfId="5" builtinId="5"/>
  </cellStyles>
  <dxfs count="3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4</xdr:row>
      <xdr:rowOff>28574</xdr:rowOff>
    </xdr:from>
    <xdr:to>
      <xdr:col>12</xdr:col>
      <xdr:colOff>257175</xdr:colOff>
      <xdr:row>19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00150" y="990599"/>
          <a:ext cx="6372225" cy="29718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Bain Capital ("Bain"), an international private equity firm, is considering the purchase of RPG Corp. a specialty chemical company</a:t>
          </a:r>
          <a:r>
            <a:rPr lang="en-US" sz="1100" baseline="0"/>
            <a:t>.  Bain will hold the investment for four to six years.  It targets an annual minimum return on its investments of 25% over the holding period.  It prefers to sell their invesmtment rather than taking them public due to lock-up periods associated with IPOs as well as the extended period it takes to sell the position in the open market.   </a:t>
          </a:r>
        </a:p>
        <a:p>
          <a:endParaRPr lang="en-US" sz="1100" baseline="0"/>
        </a:p>
        <a:p>
          <a:r>
            <a:rPr lang="en-US" sz="1100" baseline="0"/>
            <a:t>It plans to submit a bid for RPG of 8</a:t>
          </a:r>
          <a:r>
            <a:rPr lang="en-US" sz="1100" b="1" u="sng" baseline="0"/>
            <a:t>X </a:t>
          </a:r>
          <a:r>
            <a:rPr lang="en-US" sz="1100" baseline="0"/>
            <a:t> Year 1 projected EBITDA and finance the acquisition with debt of 65% of the purchase price and the remaining 35% will be an equity investment from its most recent fund.  Transaction expenses will total $25 million which will be funded through an equity contribution.  The debt financing will consist of a $2.0 billion term loan at an annual interest rate of 5.5%  that will mature in seven years with annual principal amortization requirements of 10% of the original principal amount, and the issuance $1.25 billion</a:t>
          </a:r>
          <a:r>
            <a:rPr lang="en-US" sz="1100" baseline="0">
              <a:solidFill>
                <a:srgbClr val="FF0000"/>
              </a:solidFill>
            </a:rPr>
            <a:t> </a:t>
          </a:r>
          <a:r>
            <a:rPr lang="en-US" sz="1100" baseline="0"/>
            <a:t>of 8.0% subordinated notes with a  bullet maturity in ten years.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Bain plans to grant management a 5% ownership in the company over the holding period of the investment assuming the 25% target rate of return is achieved on the aggregate purchase price. </a:t>
          </a:r>
          <a:endParaRPr lang="en-US">
            <a:effectLst/>
          </a:endParaRPr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667714-33E1-4DBB-99F4-86D8398D4198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showGridLines="0" workbookViewId="0">
      <selection activeCell="E22" sqref="E22"/>
    </sheetView>
  </sheetViews>
  <sheetFormatPr defaultRowHeight="14.5" x14ac:dyDescent="0.35"/>
  <cols>
    <col min="1" max="1" width="63.6328125" customWidth="1"/>
  </cols>
  <sheetData>
    <row r="1" spans="1:1" ht="23.25" customHeight="1" x14ac:dyDescent="0.5">
      <c r="A1" s="10" t="s">
        <v>36</v>
      </c>
    </row>
    <row r="2" spans="1:1" ht="18.5" x14ac:dyDescent="0.45">
      <c r="A2" s="12" t="s">
        <v>27</v>
      </c>
    </row>
    <row r="3" spans="1:1" ht="15.5" x14ac:dyDescent="0.35">
      <c r="A3" s="13" t="s">
        <v>23</v>
      </c>
    </row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workbookViewId="0">
      <selection activeCell="E14" sqref="E14"/>
    </sheetView>
  </sheetViews>
  <sheetFormatPr defaultRowHeight="14.5" x14ac:dyDescent="0.35"/>
  <cols>
    <col min="1" max="1" width="3.6328125" customWidth="1"/>
    <col min="2" max="2" width="27.26953125" customWidth="1"/>
    <col min="3" max="4" width="3.6328125" customWidth="1"/>
    <col min="5" max="6" width="16.36328125" customWidth="1"/>
  </cols>
  <sheetData>
    <row r="1" spans="1:6" ht="23.25" customHeight="1" x14ac:dyDescent="0.5">
      <c r="A1" s="9" t="s">
        <v>0</v>
      </c>
      <c r="B1" s="14"/>
      <c r="C1" s="14"/>
      <c r="D1" s="14"/>
      <c r="E1" s="14"/>
      <c r="F1" s="14"/>
    </row>
    <row r="2" spans="1:6" ht="18.5" x14ac:dyDescent="0.45">
      <c r="A2" s="11" t="s">
        <v>28</v>
      </c>
      <c r="B2" s="15"/>
      <c r="C2" s="15"/>
      <c r="D2" s="15"/>
      <c r="E2" s="15"/>
      <c r="F2" s="15"/>
    </row>
    <row r="3" spans="1:6" x14ac:dyDescent="0.35">
      <c r="A3" s="17" t="s">
        <v>9</v>
      </c>
      <c r="E3" s="19" t="s">
        <v>25</v>
      </c>
      <c r="F3" s="20">
        <f>Financials!C20+Financials!C17</f>
        <v>625</v>
      </c>
    </row>
    <row r="4" spans="1:6" x14ac:dyDescent="0.35">
      <c r="E4" s="19" t="s">
        <v>37</v>
      </c>
      <c r="F4" s="83">
        <v>8</v>
      </c>
    </row>
    <row r="5" spans="1:6" ht="15" thickBot="1" x14ac:dyDescent="0.4">
      <c r="E5" s="19" t="s">
        <v>16</v>
      </c>
      <c r="F5" s="24">
        <f>F3*F4</f>
        <v>5000</v>
      </c>
    </row>
    <row r="6" spans="1:6" ht="15" thickTop="1" x14ac:dyDescent="0.35">
      <c r="B6" s="21" t="s">
        <v>13</v>
      </c>
      <c r="C6" s="22"/>
      <c r="D6" s="22"/>
      <c r="E6" s="23" t="s">
        <v>38</v>
      </c>
      <c r="F6" s="25" t="s">
        <v>39</v>
      </c>
    </row>
    <row r="7" spans="1:6" x14ac:dyDescent="0.35">
      <c r="B7" s="26" t="s">
        <v>14</v>
      </c>
      <c r="E7" s="27">
        <v>1775</v>
      </c>
      <c r="F7" s="28">
        <f>E7/$E$10</f>
        <v>0.35323383084577115</v>
      </c>
    </row>
    <row r="8" spans="1:6" x14ac:dyDescent="0.35">
      <c r="B8" s="26" t="s">
        <v>40</v>
      </c>
      <c r="E8" s="29">
        <v>2000</v>
      </c>
      <c r="F8" s="28">
        <f>E8/$E$10</f>
        <v>0.39800995024875624</v>
      </c>
    </row>
    <row r="9" spans="1:6" x14ac:dyDescent="0.35">
      <c r="B9" s="26" t="s">
        <v>21</v>
      </c>
      <c r="E9" s="31">
        <v>1250</v>
      </c>
      <c r="F9" s="33">
        <f>E9/$E$10</f>
        <v>0.24875621890547264</v>
      </c>
    </row>
    <row r="10" spans="1:6" ht="15" thickBot="1" x14ac:dyDescent="0.4">
      <c r="B10" s="6" t="s">
        <v>17</v>
      </c>
      <c r="E10" s="32">
        <f>SUM(E7:E9)</f>
        <v>5025</v>
      </c>
      <c r="F10" s="34">
        <f>SUM(F7:F9)</f>
        <v>1</v>
      </c>
    </row>
    <row r="11" spans="1:6" ht="15" thickTop="1" x14ac:dyDescent="0.35"/>
    <row r="12" spans="1:6" x14ac:dyDescent="0.35">
      <c r="B12" s="21" t="s">
        <v>15</v>
      </c>
      <c r="C12" s="22"/>
      <c r="D12" s="22"/>
      <c r="E12" s="23" t="s">
        <v>38</v>
      </c>
      <c r="F12" s="23" t="s">
        <v>39</v>
      </c>
    </row>
    <row r="13" spans="1:6" x14ac:dyDescent="0.35">
      <c r="B13" s="26" t="s">
        <v>16</v>
      </c>
      <c r="E13" s="35">
        <f>F5</f>
        <v>5000</v>
      </c>
      <c r="F13" s="36">
        <f>E13/$E$15</f>
        <v>0.99502487562189057</v>
      </c>
    </row>
    <row r="14" spans="1:6" ht="16" x14ac:dyDescent="0.5">
      <c r="B14" s="26" t="s">
        <v>18</v>
      </c>
      <c r="E14" s="37">
        <v>25</v>
      </c>
      <c r="F14" s="38">
        <f>E14/$E$15</f>
        <v>4.9751243781094526E-3</v>
      </c>
    </row>
    <row r="15" spans="1:6" ht="15" thickBot="1" x14ac:dyDescent="0.4">
      <c r="B15" s="6" t="s">
        <v>19</v>
      </c>
      <c r="E15" s="32">
        <f>SUM(E13:E14)</f>
        <v>5025</v>
      </c>
      <c r="F15" s="39">
        <f>SUM(F13:F14)</f>
        <v>1</v>
      </c>
    </row>
    <row r="16" spans="1:6" ht="15" thickTop="1" x14ac:dyDescent="0.35"/>
    <row r="17" spans="2:2" x14ac:dyDescent="0.35">
      <c r="B17" s="5"/>
    </row>
  </sheetData>
  <pageMargins left="0.7" right="0.7" top="0.75" bottom="0.75" header="0.3" footer="0.3"/>
  <pageSetup scale="1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showGridLines="0" topLeftCell="A15" zoomScaleNormal="100" workbookViewId="0">
      <selection activeCell="B24" sqref="B24"/>
    </sheetView>
  </sheetViews>
  <sheetFormatPr defaultRowHeight="14.5" x14ac:dyDescent="0.35"/>
  <cols>
    <col min="1" max="1" width="36.36328125" customWidth="1"/>
    <col min="2" max="8" width="15.453125" customWidth="1"/>
    <col min="9" max="13" width="13.7265625" customWidth="1"/>
  </cols>
  <sheetData>
    <row r="1" spans="1:8" ht="23.25" customHeight="1" x14ac:dyDescent="0.5">
      <c r="A1" s="9" t="s">
        <v>29</v>
      </c>
      <c r="B1" s="14"/>
      <c r="C1" s="14"/>
      <c r="D1" s="14"/>
      <c r="E1" s="14"/>
      <c r="F1" s="14"/>
      <c r="G1" s="14"/>
      <c r="H1" s="14"/>
    </row>
    <row r="2" spans="1:8" ht="18.5" x14ac:dyDescent="0.45">
      <c r="A2" s="11" t="str">
        <f>Overview!A2</f>
        <v>RPG Corp.</v>
      </c>
      <c r="B2" s="15"/>
      <c r="C2" s="15"/>
      <c r="D2" s="15"/>
      <c r="E2" s="15"/>
      <c r="F2" s="15"/>
      <c r="G2" s="15"/>
      <c r="H2" s="15"/>
    </row>
    <row r="3" spans="1:8" x14ac:dyDescent="0.35">
      <c r="A3" s="40" t="s">
        <v>9</v>
      </c>
    </row>
    <row r="5" spans="1:8" x14ac:dyDescent="0.35">
      <c r="C5" s="41" t="s">
        <v>30</v>
      </c>
      <c r="D5" s="41" t="s">
        <v>31</v>
      </c>
      <c r="E5" s="41" t="s">
        <v>32</v>
      </c>
      <c r="F5" s="41" t="s">
        <v>33</v>
      </c>
      <c r="G5" s="41" t="s">
        <v>34</v>
      </c>
      <c r="H5" s="41" t="s">
        <v>35</v>
      </c>
    </row>
    <row r="7" spans="1:8" x14ac:dyDescent="0.35">
      <c r="A7" s="6" t="s">
        <v>1</v>
      </c>
      <c r="C7" s="42">
        <v>2625</v>
      </c>
      <c r="D7" s="42">
        <v>2756.25</v>
      </c>
      <c r="E7" s="42">
        <v>2907.84375</v>
      </c>
      <c r="F7" s="42">
        <v>3089.583984375</v>
      </c>
      <c r="G7" s="42">
        <v>3267.2350634765598</v>
      </c>
      <c r="H7" s="42">
        <v>3414.26064133301</v>
      </c>
    </row>
    <row r="8" spans="1:8" x14ac:dyDescent="0.35">
      <c r="A8" s="43" t="s">
        <v>10</v>
      </c>
      <c r="B8" s="1"/>
      <c r="C8" s="44" t="s">
        <v>41</v>
      </c>
      <c r="D8" s="45">
        <f>IFERROR((D7-C7)/C7,"—")</f>
        <v>0.05</v>
      </c>
      <c r="E8" s="45">
        <f>IFERROR((E7-D7)/D7,"—")</f>
        <v>5.5E-2</v>
      </c>
      <c r="F8" s="45">
        <f>IFERROR((F7-E7)/E7,"—")</f>
        <v>6.25E-2</v>
      </c>
      <c r="G8" s="45">
        <f>IFERROR((G7-F7)/F7,"—")</f>
        <v>5.7499999999999142E-2</v>
      </c>
      <c r="H8" s="45">
        <f>IFERROR((H7-G7)/G7,"—")</f>
        <v>4.5000000000001511E-2</v>
      </c>
    </row>
    <row r="9" spans="1:8" x14ac:dyDescent="0.35">
      <c r="A9" s="1"/>
      <c r="B9" s="1"/>
      <c r="C9" s="2"/>
      <c r="D9" s="3"/>
      <c r="E9" s="3"/>
      <c r="F9" s="3"/>
      <c r="G9" s="3"/>
      <c r="H9" s="3"/>
    </row>
    <row r="10" spans="1:8" x14ac:dyDescent="0.35">
      <c r="A10" s="26" t="s">
        <v>2</v>
      </c>
      <c r="C10" s="46">
        <v>1753.8</v>
      </c>
      <c r="D10" s="46">
        <v>1842</v>
      </c>
      <c r="E10" s="46">
        <v>1935.8</v>
      </c>
      <c r="F10" s="46">
        <v>2035.4</v>
      </c>
      <c r="G10" s="46">
        <v>2148.8000000000002</v>
      </c>
      <c r="H10" s="46">
        <v>2235.4</v>
      </c>
    </row>
    <row r="12" spans="1:8" x14ac:dyDescent="0.35">
      <c r="A12" s="6" t="s">
        <v>3</v>
      </c>
      <c r="C12" s="47">
        <f>C7-C10</f>
        <v>871.2</v>
      </c>
      <c r="D12" s="47">
        <f>D7-D10</f>
        <v>914.25</v>
      </c>
      <c r="E12" s="47">
        <f>E7-E10</f>
        <v>972.04375000000005</v>
      </c>
      <c r="F12" s="47">
        <f>F7-F10</f>
        <v>1054.1839843749999</v>
      </c>
      <c r="G12" s="47">
        <f>G7-G10</f>
        <v>1118.4350634765597</v>
      </c>
      <c r="H12" s="47">
        <f>H7-H10</f>
        <v>1178.8606413330099</v>
      </c>
    </row>
    <row r="13" spans="1:8" x14ac:dyDescent="0.35">
      <c r="A13" s="43" t="s">
        <v>11</v>
      </c>
      <c r="B13" s="1"/>
      <c r="C13" s="45">
        <f>IFERROR(C12/C7,"—")</f>
        <v>0.33188571428571428</v>
      </c>
      <c r="D13" s="45">
        <f>IFERROR(D12/D7,"—")</f>
        <v>0.33170068027210886</v>
      </c>
      <c r="E13" s="45">
        <f>IFERROR(E12/E7,"—")</f>
        <v>0.33428334999086523</v>
      </c>
      <c r="F13" s="45">
        <f>IFERROR(F12/F7,"—")</f>
        <v>0.34120580301630921</v>
      </c>
      <c r="G13" s="45">
        <f>IFERROR(G12/G7,"—")</f>
        <v>0.34231851756832848</v>
      </c>
      <c r="H13" s="45">
        <f>IFERROR(H12/H7,"—")</f>
        <v>0.34527552673095108</v>
      </c>
    </row>
    <row r="15" spans="1:8" x14ac:dyDescent="0.35">
      <c r="A15" s="26" t="s">
        <v>4</v>
      </c>
      <c r="C15" s="48">
        <v>144.4</v>
      </c>
      <c r="D15" s="48">
        <v>151.59375</v>
      </c>
      <c r="E15" s="48">
        <v>159.93140625000001</v>
      </c>
      <c r="F15" s="48">
        <v>169.927119140625</v>
      </c>
      <c r="G15" s="48">
        <v>179.697928491211</v>
      </c>
      <c r="H15" s="48">
        <v>195.2</v>
      </c>
    </row>
    <row r="16" spans="1:8" x14ac:dyDescent="0.35">
      <c r="A16" s="26" t="s">
        <v>5</v>
      </c>
      <c r="C16" s="48">
        <v>101.8</v>
      </c>
      <c r="D16" s="48">
        <v>104.4</v>
      </c>
      <c r="E16" s="48">
        <v>108.5</v>
      </c>
      <c r="F16" s="48">
        <v>113.4</v>
      </c>
      <c r="G16" s="48">
        <v>118.2</v>
      </c>
      <c r="H16" s="48">
        <v>122.5</v>
      </c>
    </row>
    <row r="17" spans="1:8" x14ac:dyDescent="0.35">
      <c r="A17" s="26" t="s">
        <v>6</v>
      </c>
      <c r="C17" s="49">
        <v>105.5</v>
      </c>
      <c r="D17" s="49">
        <v>113.00624999999999</v>
      </c>
      <c r="E17" s="49">
        <v>119.22159375</v>
      </c>
      <c r="F17" s="49">
        <v>126.672943359375</v>
      </c>
      <c r="G17" s="49">
        <v>133.95663760253899</v>
      </c>
      <c r="H17" s="49">
        <v>139.98468629465299</v>
      </c>
    </row>
    <row r="18" spans="1:8" x14ac:dyDescent="0.35">
      <c r="A18" s="6" t="s">
        <v>7</v>
      </c>
      <c r="C18" s="50">
        <f>SUM(C15:C17)</f>
        <v>351.7</v>
      </c>
      <c r="D18" s="50">
        <f>SUM(D15:D17)</f>
        <v>369</v>
      </c>
      <c r="E18" s="50">
        <f>SUM(E15:E17)</f>
        <v>387.65300000000002</v>
      </c>
      <c r="F18" s="50">
        <f>SUM(F15:F17)</f>
        <v>410.00006249999996</v>
      </c>
      <c r="G18" s="50">
        <f>SUM(G15:G17)</f>
        <v>431.85456609375001</v>
      </c>
      <c r="H18" s="50">
        <f>SUM(H15:H17)</f>
        <v>457.68468629465298</v>
      </c>
    </row>
    <row r="20" spans="1:8" ht="15" thickBot="1" x14ac:dyDescent="0.4">
      <c r="A20" s="18" t="s">
        <v>8</v>
      </c>
      <c r="C20" s="51">
        <f>C12-C18</f>
        <v>519.5</v>
      </c>
      <c r="D20" s="51">
        <f>D12-D18</f>
        <v>545.25</v>
      </c>
      <c r="E20" s="51">
        <f>E12-E18</f>
        <v>584.39075000000003</v>
      </c>
      <c r="F20" s="51">
        <f>F12-F18</f>
        <v>644.1839218749999</v>
      </c>
      <c r="G20" s="51">
        <f>G12-G18</f>
        <v>686.58049738280965</v>
      </c>
      <c r="H20" s="51">
        <f>H12-H18</f>
        <v>721.17595503835696</v>
      </c>
    </row>
    <row r="21" spans="1:8" ht="15" thickTop="1" x14ac:dyDescent="0.35">
      <c r="A21" s="43" t="s">
        <v>12</v>
      </c>
      <c r="B21" s="1"/>
      <c r="C21" s="45">
        <f>IFERROR(C20/C7,"—")</f>
        <v>0.19790476190476192</v>
      </c>
      <c r="D21" s="45">
        <f>IFERROR(D20/D7,"—")</f>
        <v>0.19782312925170067</v>
      </c>
      <c r="E21" s="45">
        <f>IFERROR(E20/E7,"—")</f>
        <v>0.20097047855477104</v>
      </c>
      <c r="F21" s="45">
        <f>IFERROR(F20/F7,"—")</f>
        <v>0.208501832328508</v>
      </c>
      <c r="G21" s="45">
        <f>IFERROR(G20/G7,"—")</f>
        <v>0.21014113892749467</v>
      </c>
      <c r="H21" s="45">
        <f>IFERROR(H20/H7,"—")</f>
        <v>0.21122463420273399</v>
      </c>
    </row>
    <row r="22" spans="1:8" x14ac:dyDescent="0.35">
      <c r="A22" s="1"/>
      <c r="B22" s="1"/>
      <c r="C22" s="4"/>
      <c r="D22" s="4"/>
      <c r="E22" s="4"/>
      <c r="F22" s="4"/>
      <c r="G22" s="4"/>
      <c r="H22" s="4"/>
    </row>
    <row r="23" spans="1:8" ht="30" customHeight="1" x14ac:dyDescent="0.35">
      <c r="A23" s="21" t="s">
        <v>42</v>
      </c>
      <c r="B23" s="52" t="s">
        <v>22</v>
      </c>
      <c r="C23" s="22"/>
      <c r="D23" s="22"/>
      <c r="E23" s="22"/>
      <c r="F23" s="22"/>
      <c r="G23" s="22"/>
      <c r="H23" s="22"/>
    </row>
    <row r="24" spans="1:8" x14ac:dyDescent="0.35">
      <c r="A24" s="6" t="s">
        <v>20</v>
      </c>
      <c r="B24" s="53">
        <v>2000</v>
      </c>
    </row>
    <row r="25" spans="1:8" x14ac:dyDescent="0.35">
      <c r="A25" s="16" t="s">
        <v>43</v>
      </c>
      <c r="B25" s="54">
        <v>0.1</v>
      </c>
      <c r="C25" s="55">
        <f>$B$25*$B$24</f>
        <v>200</v>
      </c>
      <c r="D25" s="55">
        <f>$B$25*$B$24</f>
        <v>200</v>
      </c>
      <c r="E25" s="55">
        <f>$B$25*$B$24</f>
        <v>200</v>
      </c>
      <c r="F25" s="55">
        <f>$B$25*$B$24</f>
        <v>200</v>
      </c>
      <c r="G25" s="55">
        <f>$B$25*$B$24</f>
        <v>200</v>
      </c>
      <c r="H25" s="55">
        <f>$B$25*$B$24</f>
        <v>200</v>
      </c>
    </row>
    <row r="26" spans="1:8" x14ac:dyDescent="0.35">
      <c r="A26" s="16" t="s">
        <v>44</v>
      </c>
      <c r="B26" s="8"/>
      <c r="C26" s="30">
        <f>$B$24-C25</f>
        <v>1800</v>
      </c>
      <c r="D26" s="30">
        <f>C26-D25</f>
        <v>1600</v>
      </c>
      <c r="E26" s="30">
        <f>D26-E25</f>
        <v>1400</v>
      </c>
      <c r="F26" s="30">
        <f>E26-F25</f>
        <v>1200</v>
      </c>
      <c r="G26" s="30">
        <f>F26-G25</f>
        <v>1000</v>
      </c>
      <c r="H26" s="30">
        <f>G26-H25</f>
        <v>800</v>
      </c>
    </row>
    <row r="28" spans="1:8" x14ac:dyDescent="0.35">
      <c r="A28" s="6" t="s">
        <v>21</v>
      </c>
      <c r="B28" s="56">
        <v>1250</v>
      </c>
      <c r="C28" s="57">
        <f>B28</f>
        <v>1250</v>
      </c>
      <c r="D28" s="57">
        <f>C28</f>
        <v>1250</v>
      </c>
      <c r="E28" s="57">
        <f>D28</f>
        <v>1250</v>
      </c>
      <c r="F28" s="57">
        <f>E28</f>
        <v>1250</v>
      </c>
      <c r="G28" s="57">
        <f>F28</f>
        <v>1250</v>
      </c>
      <c r="H28" s="57">
        <f>G28</f>
        <v>1250</v>
      </c>
    </row>
    <row r="30" spans="1:8" ht="15" thickBot="1" x14ac:dyDescent="0.4">
      <c r="A30" s="18" t="s">
        <v>45</v>
      </c>
      <c r="B30" s="58">
        <f>B24+B28</f>
        <v>3250</v>
      </c>
      <c r="C30" s="58">
        <f>C26+C28</f>
        <v>3050</v>
      </c>
      <c r="D30" s="58">
        <f>D26+D28</f>
        <v>2850</v>
      </c>
      <c r="E30" s="58">
        <f>E26+E28</f>
        <v>2650</v>
      </c>
      <c r="F30" s="58">
        <f>F26+F28</f>
        <v>2450</v>
      </c>
      <c r="G30" s="58">
        <f>G26+G28</f>
        <v>2250</v>
      </c>
      <c r="H30" s="58">
        <f>H26+H28</f>
        <v>2050</v>
      </c>
    </row>
    <row r="31" spans="1:8" ht="15" thickTop="1" x14ac:dyDescent="0.35"/>
  </sheetData>
  <phoneticPr fontId="9" type="noConversion"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A170-6E8A-41BA-8DD0-F08BA1284A02}">
  <dimension ref="A1:H64"/>
  <sheetViews>
    <sheetView showGridLines="0" tabSelected="1" topLeftCell="A28" workbookViewId="0">
      <selection activeCell="H35" sqref="H35"/>
    </sheetView>
  </sheetViews>
  <sheetFormatPr defaultRowHeight="14.5" x14ac:dyDescent="0.35"/>
  <cols>
    <col min="1" max="1" width="36.36328125" customWidth="1"/>
    <col min="2" max="2" width="14.54296875" customWidth="1"/>
    <col min="3" max="3" width="3.6328125" customWidth="1"/>
    <col min="4" max="6" width="15.453125" customWidth="1"/>
    <col min="7" max="7" width="5" customWidth="1"/>
    <col min="8" max="11" width="13.7265625" customWidth="1"/>
  </cols>
  <sheetData>
    <row r="1" spans="1:7" ht="23.25" customHeight="1" x14ac:dyDescent="0.5">
      <c r="A1" s="9" t="s">
        <v>23</v>
      </c>
      <c r="B1" s="14"/>
      <c r="C1" s="14"/>
      <c r="D1" s="14"/>
      <c r="E1" s="14"/>
      <c r="F1" s="14"/>
    </row>
    <row r="2" spans="1:7" ht="18.5" x14ac:dyDescent="0.45">
      <c r="A2" s="11" t="str">
        <f>Financials!A2</f>
        <v>RPG Corp.</v>
      </c>
      <c r="B2" s="15"/>
      <c r="C2" s="15"/>
      <c r="D2" s="15"/>
      <c r="E2" s="15"/>
      <c r="F2" s="15"/>
    </row>
    <row r="3" spans="1:7" x14ac:dyDescent="0.35">
      <c r="A3" s="17" t="s">
        <v>9</v>
      </c>
    </row>
    <row r="5" spans="1:7" x14ac:dyDescent="0.35">
      <c r="A5" s="59" t="s">
        <v>52</v>
      </c>
      <c r="B5" s="22"/>
      <c r="C5" s="22"/>
      <c r="D5" s="23" t="s">
        <v>33</v>
      </c>
      <c r="E5" s="23" t="s">
        <v>34</v>
      </c>
      <c r="F5" s="23" t="s">
        <v>35</v>
      </c>
    </row>
    <row r="6" spans="1:7" x14ac:dyDescent="0.35">
      <c r="A6" s="26" t="s">
        <v>24</v>
      </c>
      <c r="D6" s="65">
        <v>4</v>
      </c>
      <c r="E6" s="65">
        <v>5</v>
      </c>
      <c r="F6" s="65">
        <v>6</v>
      </c>
    </row>
    <row r="7" spans="1:7" x14ac:dyDescent="0.35">
      <c r="A7" s="26" t="s">
        <v>46</v>
      </c>
      <c r="D7" s="66">
        <v>0.25</v>
      </c>
      <c r="E7" s="66">
        <v>0.25</v>
      </c>
      <c r="F7" s="66">
        <v>0.25</v>
      </c>
    </row>
    <row r="8" spans="1:7" x14ac:dyDescent="0.35">
      <c r="A8" s="26" t="s">
        <v>47</v>
      </c>
      <c r="D8" s="66">
        <v>0.05</v>
      </c>
      <c r="E8" s="66">
        <v>0.05</v>
      </c>
      <c r="F8" s="66">
        <v>0.05</v>
      </c>
    </row>
    <row r="9" spans="1:7" ht="15" thickBot="1" x14ac:dyDescent="0.4">
      <c r="A9" s="18" t="s">
        <v>53</v>
      </c>
      <c r="D9" s="67">
        <f>Financials!F20+Financials!F17</f>
        <v>770.85686523437494</v>
      </c>
      <c r="E9" s="67">
        <f>Financials!G20+Financials!G17</f>
        <v>820.53713498534864</v>
      </c>
      <c r="F9" s="67">
        <f>Financials!H20+Financials!H17</f>
        <v>861.16064133300995</v>
      </c>
    </row>
    <row r="11" spans="1:7" x14ac:dyDescent="0.35">
      <c r="A11" s="59" t="s">
        <v>54</v>
      </c>
      <c r="B11" s="68" t="s">
        <v>48</v>
      </c>
      <c r="C11" s="22"/>
      <c r="D11" s="22"/>
      <c r="E11" s="22"/>
      <c r="F11" s="22"/>
    </row>
    <row r="12" spans="1:7" x14ac:dyDescent="0.35">
      <c r="B12" s="69">
        <v>8</v>
      </c>
      <c r="D12" s="61">
        <f>$B12*D$9</f>
        <v>6166.8549218749995</v>
      </c>
      <c r="E12" s="61">
        <f>$B12*E$9</f>
        <v>6564.2970798827891</v>
      </c>
      <c r="F12" s="61">
        <f>$B12*F$9</f>
        <v>6889.2851306640796</v>
      </c>
    </row>
    <row r="13" spans="1:7" x14ac:dyDescent="0.35">
      <c r="B13" s="69">
        <v>9</v>
      </c>
      <c r="D13" s="61">
        <f>$B13*D$9</f>
        <v>6937.7117871093742</v>
      </c>
      <c r="E13" s="61">
        <f>$B13*E$9</f>
        <v>7384.8342148681377</v>
      </c>
      <c r="F13" s="61">
        <f>$B13*F$9</f>
        <v>7750.4457719970897</v>
      </c>
      <c r="G13" s="60"/>
    </row>
    <row r="14" spans="1:7" x14ac:dyDescent="0.35">
      <c r="B14" s="69">
        <v>10</v>
      </c>
      <c r="D14" s="61">
        <f>$B14*D$9</f>
        <v>7708.5686523437489</v>
      </c>
      <c r="E14" s="61">
        <f>$B14*E$9</f>
        <v>8205.3713498534871</v>
      </c>
      <c r="F14" s="61">
        <f>$B14*F$9</f>
        <v>8611.6064133300988</v>
      </c>
      <c r="G14" s="60"/>
    </row>
    <row r="15" spans="1:7" ht="15" thickBot="1" x14ac:dyDescent="0.4">
      <c r="B15" s="69">
        <v>11</v>
      </c>
      <c r="D15" s="63">
        <f>$B15*D$9</f>
        <v>8479.4255175781236</v>
      </c>
      <c r="E15" s="63">
        <f>$B15*E$9</f>
        <v>9025.9084848388356</v>
      </c>
      <c r="F15" s="63">
        <f>$B15*F$9</f>
        <v>9472.7670546631089</v>
      </c>
      <c r="G15" s="60"/>
    </row>
    <row r="16" spans="1:7" x14ac:dyDescent="0.35">
      <c r="G16" s="60"/>
    </row>
    <row r="17" spans="1:8" x14ac:dyDescent="0.35">
      <c r="A17" s="6" t="s">
        <v>49</v>
      </c>
      <c r="D17" s="70">
        <f>Financials!F30</f>
        <v>2450</v>
      </c>
      <c r="E17" s="70">
        <f>Financials!G30</f>
        <v>2250</v>
      </c>
      <c r="F17" s="70">
        <f>Financials!H30</f>
        <v>2050</v>
      </c>
      <c r="G17" s="60"/>
    </row>
    <row r="18" spans="1:8" x14ac:dyDescent="0.35">
      <c r="A18" s="71" t="s">
        <v>50</v>
      </c>
      <c r="G18" s="60"/>
    </row>
    <row r="19" spans="1:8" x14ac:dyDescent="0.35">
      <c r="G19" s="60"/>
    </row>
    <row r="20" spans="1:8" x14ac:dyDescent="0.35">
      <c r="A20" s="59" t="s">
        <v>51</v>
      </c>
      <c r="B20" s="68" t="s">
        <v>48</v>
      </c>
      <c r="C20" s="22"/>
      <c r="D20" s="22"/>
      <c r="E20" s="22"/>
      <c r="F20" s="22"/>
      <c r="G20" s="84"/>
    </row>
    <row r="21" spans="1:8" x14ac:dyDescent="0.35">
      <c r="B21" s="62">
        <f>$B$12</f>
        <v>8</v>
      </c>
      <c r="D21" s="61">
        <f>D12-D$17</f>
        <v>3716.8549218749995</v>
      </c>
      <c r="E21" s="61">
        <f>E12-E$17</f>
        <v>4314.2970798827891</v>
      </c>
      <c r="F21" s="61">
        <f>F12-F$17</f>
        <v>4839.2851306640796</v>
      </c>
      <c r="G21" s="60"/>
      <c r="H21" s="60"/>
    </row>
    <row r="22" spans="1:8" x14ac:dyDescent="0.35">
      <c r="B22" s="62">
        <f>$B$13</f>
        <v>9</v>
      </c>
      <c r="D22" s="61">
        <f>D13-D$17</f>
        <v>4487.7117871093742</v>
      </c>
      <c r="E22" s="61">
        <f>E13-E$17</f>
        <v>5134.8342148681377</v>
      </c>
      <c r="F22" s="61">
        <f>F13-F$17</f>
        <v>5700.4457719970897</v>
      </c>
      <c r="G22" s="60"/>
      <c r="H22" s="60"/>
    </row>
    <row r="23" spans="1:8" x14ac:dyDescent="0.35">
      <c r="B23" s="62">
        <f>$B$14</f>
        <v>10</v>
      </c>
      <c r="D23" s="61">
        <f>D14-D$17</f>
        <v>5258.5686523437489</v>
      </c>
      <c r="E23" s="61">
        <f>E14-E$17</f>
        <v>5955.3713498534871</v>
      </c>
      <c r="F23" s="61">
        <f>F14-F$17</f>
        <v>6561.6064133300988</v>
      </c>
      <c r="G23" s="60"/>
      <c r="H23" s="60"/>
    </row>
    <row r="24" spans="1:8" ht="15" thickBot="1" x14ac:dyDescent="0.4">
      <c r="B24" s="62">
        <f>$B$15</f>
        <v>11</v>
      </c>
      <c r="D24" s="63">
        <f>D15-D$17</f>
        <v>6029.4255175781236</v>
      </c>
      <c r="E24" s="63">
        <f>E15-E$17</f>
        <v>6775.9084848388356</v>
      </c>
      <c r="F24" s="63">
        <f>F15-F$17</f>
        <v>7422.7670546631089</v>
      </c>
      <c r="G24" s="60"/>
      <c r="H24" s="60"/>
    </row>
    <row r="25" spans="1:8" x14ac:dyDescent="0.35">
      <c r="G25" s="60"/>
      <c r="H25" s="60"/>
    </row>
    <row r="26" spans="1:8" x14ac:dyDescent="0.35">
      <c r="A26" s="6" t="s">
        <v>26</v>
      </c>
      <c r="D26" s="72">
        <f>Transaction!E7</f>
        <v>1775</v>
      </c>
      <c r="E26" s="72">
        <f>D26</f>
        <v>1775</v>
      </c>
      <c r="F26" s="72">
        <f>D26</f>
        <v>1775</v>
      </c>
      <c r="G26" s="60"/>
      <c r="H26" s="60"/>
    </row>
    <row r="27" spans="1:8" x14ac:dyDescent="0.35">
      <c r="G27" s="60"/>
      <c r="H27" s="60"/>
    </row>
    <row r="28" spans="1:8" x14ac:dyDescent="0.35">
      <c r="G28" s="60"/>
      <c r="H28" s="60"/>
    </row>
    <row r="29" spans="1:8" x14ac:dyDescent="0.35">
      <c r="A29" s="59" t="s">
        <v>55</v>
      </c>
      <c r="B29" s="68" t="s">
        <v>48</v>
      </c>
      <c r="C29" s="22"/>
      <c r="D29" s="22"/>
      <c r="E29" s="22"/>
      <c r="F29" s="22"/>
      <c r="G29" s="60"/>
      <c r="H29" s="60"/>
    </row>
    <row r="30" spans="1:8" x14ac:dyDescent="0.35">
      <c r="B30" s="62">
        <f>$B$12</f>
        <v>8</v>
      </c>
      <c r="D30" s="64">
        <f>IFERROR(RATE(D$6,0,-D$26,D21),"N/A")</f>
        <v>0.20294096082026616</v>
      </c>
      <c r="E30" s="64">
        <f>IFERROR(RATE(E$6,0,-E$26,E21),"N/A")</f>
        <v>0.19437949246908201</v>
      </c>
      <c r="F30" s="64">
        <f>IFERROR(RATE(F$6,0,-F$26,F21),"N/A")</f>
        <v>0.18194465862003548</v>
      </c>
      <c r="G30" s="60"/>
      <c r="H30" s="60"/>
    </row>
    <row r="31" spans="1:8" x14ac:dyDescent="0.35">
      <c r="B31" s="62">
        <f>$B$13</f>
        <v>9</v>
      </c>
      <c r="D31" s="64">
        <f>IFERROR(RATE(D$6,0,-D$26,D22),"N/A")</f>
        <v>0.26097550428560345</v>
      </c>
      <c r="E31" s="64">
        <f>IFERROR(RATE(E$6,0,-E$26,E22),"N/A")</f>
        <v>0.23670356807744344</v>
      </c>
      <c r="F31" s="64">
        <f>IFERROR(RATE(F$6,0,-F$26,F22),"N/A")</f>
        <v>0.21465164742430234</v>
      </c>
      <c r="G31" s="60"/>
      <c r="H31" s="60"/>
    </row>
    <row r="32" spans="1:8" x14ac:dyDescent="0.35">
      <c r="B32" s="62">
        <f>$B$14</f>
        <v>10</v>
      </c>
      <c r="D32" s="64">
        <f>IFERROR(RATE(D$6,0,-D$26,D23),"N/A")</f>
        <v>0.31195004175313878</v>
      </c>
      <c r="E32" s="64">
        <f>IFERROR(RATE(E$6,0,-E$26,E23),"N/A")</f>
        <v>0.2739198300906312</v>
      </c>
      <c r="F32" s="64">
        <f>IFERROR(RATE(F$6,0,-F$26,F23),"N/A")</f>
        <v>0.24346997492822831</v>
      </c>
      <c r="G32" s="60"/>
      <c r="H32" s="60"/>
    </row>
    <row r="33" spans="1:8" ht="15" thickBot="1" x14ac:dyDescent="0.4">
      <c r="B33" s="62">
        <f>$B$15</f>
        <v>11</v>
      </c>
      <c r="D33" s="73">
        <f>IFERROR(RATE(D$6,0,-D$26,D24),"N/A")</f>
        <v>0.35759238823133038</v>
      </c>
      <c r="E33" s="73">
        <f>IFERROR(RATE(E$6,0,-E$26,E24),"N/A")</f>
        <v>0.30723550480116979</v>
      </c>
      <c r="F33" s="73">
        <f>IFERROR(RATE(F$6,0,-F$26,F24),"N/A")</f>
        <v>0.26929113157602791</v>
      </c>
      <c r="G33" s="60"/>
      <c r="H33" s="60"/>
    </row>
    <row r="34" spans="1:8" x14ac:dyDescent="0.35">
      <c r="G34" s="60"/>
      <c r="H34" s="60"/>
    </row>
    <row r="35" spans="1:8" x14ac:dyDescent="0.35">
      <c r="A35" s="6" t="s">
        <v>56</v>
      </c>
      <c r="G35" s="60"/>
      <c r="H35" s="60"/>
    </row>
    <row r="36" spans="1:8" x14ac:dyDescent="0.35">
      <c r="G36" s="60"/>
      <c r="H36" s="60"/>
    </row>
    <row r="37" spans="1:8" x14ac:dyDescent="0.35">
      <c r="A37" s="59" t="s">
        <v>57</v>
      </c>
      <c r="B37" s="68" t="s">
        <v>48</v>
      </c>
      <c r="C37" s="22"/>
      <c r="D37" s="22"/>
      <c r="E37" s="22"/>
      <c r="F37" s="22"/>
    </row>
    <row r="38" spans="1:8" x14ac:dyDescent="0.35">
      <c r="B38" s="62">
        <f>$B$12</f>
        <v>8</v>
      </c>
      <c r="D38" s="74" t="str">
        <f>IF(D30&gt;=D$7,"Yes","No")</f>
        <v>No</v>
      </c>
      <c r="E38" s="74" t="str">
        <f>IF(E30&gt;=E$7,"Yes","No")</f>
        <v>No</v>
      </c>
      <c r="F38" s="74" t="str">
        <f>IF(F30&gt;=F$7,"Yes","No")</f>
        <v>No</v>
      </c>
    </row>
    <row r="39" spans="1:8" x14ac:dyDescent="0.35">
      <c r="B39" s="62">
        <f>$B$13</f>
        <v>9</v>
      </c>
      <c r="D39" s="74" t="str">
        <f>IF(D31&gt;=D$7,"Yes","No")</f>
        <v>Yes</v>
      </c>
      <c r="E39" s="74" t="str">
        <f>IF(E31&gt;=E$7,"Yes","No")</f>
        <v>No</v>
      </c>
      <c r="F39" s="74" t="str">
        <f>IF(F31&gt;=F$7,"Yes","No")</f>
        <v>No</v>
      </c>
      <c r="G39" s="60"/>
    </row>
    <row r="40" spans="1:8" x14ac:dyDescent="0.35">
      <c r="B40" s="62">
        <f>$B$14</f>
        <v>10</v>
      </c>
      <c r="D40" s="74" t="str">
        <f>IF(D32&gt;=D$7,"Yes","No")</f>
        <v>Yes</v>
      </c>
      <c r="E40" s="74" t="str">
        <f>IF(E32&gt;=E$7,"Yes","No")</f>
        <v>Yes</v>
      </c>
      <c r="F40" s="74" t="str">
        <f>IF(F32&gt;=F$7,"Yes","No")</f>
        <v>No</v>
      </c>
      <c r="G40" s="60"/>
    </row>
    <row r="41" spans="1:8" ht="15" thickBot="1" x14ac:dyDescent="0.4">
      <c r="B41" s="62">
        <f>$B$15</f>
        <v>11</v>
      </c>
      <c r="D41" s="75" t="str">
        <f>IF(D33&gt;=D$7,"Yes","No")</f>
        <v>Yes</v>
      </c>
      <c r="E41" s="75" t="str">
        <f>IF(E33&gt;=E$7,"Yes","No")</f>
        <v>Yes</v>
      </c>
      <c r="F41" s="75" t="str">
        <f>IF(F33&gt;=F$7,"Yes","No")</f>
        <v>Yes</v>
      </c>
      <c r="G41" s="60"/>
    </row>
    <row r="42" spans="1:8" x14ac:dyDescent="0.35">
      <c r="G42" s="60"/>
      <c r="H42" s="7"/>
    </row>
    <row r="43" spans="1:8" x14ac:dyDescent="0.35">
      <c r="A43" s="59" t="s">
        <v>58</v>
      </c>
      <c r="B43" s="68" t="s">
        <v>48</v>
      </c>
      <c r="C43" s="22"/>
      <c r="D43" s="22"/>
      <c r="E43" s="22"/>
      <c r="F43" s="22"/>
      <c r="G43" s="60"/>
    </row>
    <row r="44" spans="1:8" x14ac:dyDescent="0.35">
      <c r="B44" s="62">
        <f>$B$12</f>
        <v>8</v>
      </c>
      <c r="D44" s="76">
        <f>IF(D38="Yes",1-D$8,1)</f>
        <v>1</v>
      </c>
      <c r="E44" s="76">
        <f>IF(E38="Yes",1-E$8,1)</f>
        <v>1</v>
      </c>
      <c r="F44" s="76">
        <f>IF(F38="Yes",1-F$8,1)</f>
        <v>1</v>
      </c>
      <c r="G44" s="60"/>
    </row>
    <row r="45" spans="1:8" x14ac:dyDescent="0.35">
      <c r="B45" s="62">
        <f>$B$13</f>
        <v>9</v>
      </c>
      <c r="D45" s="76">
        <f>IF(D39="Yes",1-D$8,1)</f>
        <v>0.95</v>
      </c>
      <c r="E45" s="76">
        <f>IF(E39="Yes",1-E$8,1)</f>
        <v>1</v>
      </c>
      <c r="F45" s="76">
        <f>IF(F39="Yes",1-F$8,1)</f>
        <v>1</v>
      </c>
      <c r="G45" s="60"/>
    </row>
    <row r="46" spans="1:8" x14ac:dyDescent="0.35">
      <c r="B46" s="62">
        <f>$B$14</f>
        <v>10</v>
      </c>
      <c r="D46" s="76">
        <f>IF(D40="Yes",1-D$8,1)</f>
        <v>0.95</v>
      </c>
      <c r="E46" s="76">
        <f>IF(E40="Yes",1-E$8,1)</f>
        <v>0.95</v>
      </c>
      <c r="F46" s="76">
        <f>IF(F40="Yes",1-F$8,1)</f>
        <v>1</v>
      </c>
      <c r="G46" s="60"/>
    </row>
    <row r="47" spans="1:8" ht="15" thickBot="1" x14ac:dyDescent="0.4">
      <c r="B47" s="62">
        <f>$B$15</f>
        <v>11</v>
      </c>
      <c r="D47" s="77">
        <f>IF(D41="Yes",1-D$8,1)</f>
        <v>0.95</v>
      </c>
      <c r="E47" s="77">
        <f>IF(E41="Yes",1-E$8,1)</f>
        <v>0.95</v>
      </c>
      <c r="F47" s="77">
        <f>IF(F41="Yes",1-F$8,1)</f>
        <v>0.95</v>
      </c>
      <c r="G47" s="60"/>
    </row>
    <row r="48" spans="1:8" x14ac:dyDescent="0.35">
      <c r="G48" s="60"/>
    </row>
    <row r="49" spans="1:7" x14ac:dyDescent="0.35">
      <c r="A49" s="59" t="s">
        <v>59</v>
      </c>
      <c r="B49" s="68" t="s">
        <v>48</v>
      </c>
      <c r="C49" s="22"/>
      <c r="D49" s="22"/>
      <c r="E49" s="22"/>
      <c r="F49" s="22"/>
      <c r="G49" s="60"/>
    </row>
    <row r="50" spans="1:7" x14ac:dyDescent="0.35">
      <c r="B50" s="62">
        <f>$B$12</f>
        <v>8</v>
      </c>
      <c r="D50" s="61">
        <f>D44*D21</f>
        <v>3716.8549218749995</v>
      </c>
      <c r="E50" s="61">
        <f>E44*E21</f>
        <v>4314.2970798827891</v>
      </c>
      <c r="F50" s="61">
        <f>F44*F21</f>
        <v>4839.2851306640796</v>
      </c>
      <c r="G50" s="60"/>
    </row>
    <row r="51" spans="1:7" x14ac:dyDescent="0.35">
      <c r="B51" s="62">
        <f>$B$13</f>
        <v>9</v>
      </c>
      <c r="D51" s="61">
        <f>D45*D22</f>
        <v>4263.326197753905</v>
      </c>
      <c r="E51" s="61">
        <f>E45*E22</f>
        <v>5134.8342148681377</v>
      </c>
      <c r="F51" s="61">
        <f>F45*F22</f>
        <v>5700.4457719970897</v>
      </c>
      <c r="G51" s="60"/>
    </row>
    <row r="52" spans="1:7" x14ac:dyDescent="0.35">
      <c r="B52" s="62">
        <f>$B$14</f>
        <v>10</v>
      </c>
      <c r="D52" s="61">
        <f>D46*D23</f>
        <v>4995.6402197265616</v>
      </c>
      <c r="E52" s="61">
        <f>E46*E23</f>
        <v>5657.6027823608129</v>
      </c>
      <c r="F52" s="61">
        <f>F46*F23</f>
        <v>6561.6064133300988</v>
      </c>
      <c r="G52" s="60"/>
    </row>
    <row r="53" spans="1:7" ht="15" thickBot="1" x14ac:dyDescent="0.4">
      <c r="B53" s="62">
        <f>$B$15</f>
        <v>11</v>
      </c>
      <c r="D53" s="63">
        <f>D47*D24</f>
        <v>5727.9542416992172</v>
      </c>
      <c r="E53" s="63">
        <f>E47*E24</f>
        <v>6437.1130605968938</v>
      </c>
      <c r="F53" s="63">
        <f>F47*F24</f>
        <v>7051.6287019299534</v>
      </c>
      <c r="G53" s="60"/>
    </row>
    <row r="54" spans="1:7" x14ac:dyDescent="0.35">
      <c r="G54" s="60"/>
    </row>
    <row r="55" spans="1:7" x14ac:dyDescent="0.35">
      <c r="A55" s="78" t="s">
        <v>60</v>
      </c>
      <c r="B55" s="79" t="s">
        <v>48</v>
      </c>
      <c r="C55" s="80"/>
      <c r="D55" s="80"/>
      <c r="E55" s="80"/>
      <c r="F55" s="80"/>
      <c r="G55" s="60"/>
    </row>
    <row r="56" spans="1:7" x14ac:dyDescent="0.35">
      <c r="B56" s="62">
        <f>$B$12</f>
        <v>8</v>
      </c>
      <c r="D56" s="81">
        <f>IFERROR(RATE(D$6,0,-D$26,D50),"N/A")</f>
        <v>0.20294096082026616</v>
      </c>
      <c r="E56" s="81">
        <f>IFERROR(RATE(E$6,0,-E$26,E50),"N/A")</f>
        <v>0.19437949246908201</v>
      </c>
      <c r="F56" s="81">
        <f>IFERROR(RATE(F$6,0,-F$26,F50),"N/A")</f>
        <v>0.18194465862003548</v>
      </c>
      <c r="G56" s="60"/>
    </row>
    <row r="57" spans="1:7" x14ac:dyDescent="0.35">
      <c r="B57" s="62">
        <f>$B$13</f>
        <v>9</v>
      </c>
      <c r="D57" s="81">
        <f>IFERROR(RATE(D$6,0,-D$26,D51),"N/A")</f>
        <v>0.24490884151736253</v>
      </c>
      <c r="E57" s="81">
        <f>IFERROR(RATE(E$6,0,-E$26,E51),"N/A")</f>
        <v>0.23670356807744344</v>
      </c>
      <c r="F57" s="81">
        <f>IFERROR(RATE(F$6,0,-F$26,F51),"N/A")</f>
        <v>0.21465164742430234</v>
      </c>
      <c r="G57" s="60"/>
    </row>
    <row r="58" spans="1:7" x14ac:dyDescent="0.35">
      <c r="B58" s="62">
        <f>$B$14</f>
        <v>10</v>
      </c>
      <c r="D58" s="81">
        <f>IFERROR(RATE(D$6,0,-D$26,D52),"N/A")</f>
        <v>0.29523388920597193</v>
      </c>
      <c r="E58" s="81">
        <f>IFERROR(RATE(E$6,0,-E$26,E52),"N/A")</f>
        <v>0.26091792618829118</v>
      </c>
      <c r="F58" s="81">
        <f>IFERROR(RATE(F$6,0,-F$26,F52),"N/A")</f>
        <v>0.24346997492822831</v>
      </c>
      <c r="G58" s="60"/>
    </row>
    <row r="59" spans="1:7" ht="15" thickBot="1" x14ac:dyDescent="0.4">
      <c r="B59" s="62">
        <f>$B$15</f>
        <v>11</v>
      </c>
      <c r="D59" s="82">
        <f>IFERROR(RATE(D$6,0,-D$26,D53),"N/A")</f>
        <v>0.34029468577452565</v>
      </c>
      <c r="E59" s="82">
        <f>IFERROR(RATE(E$6,0,-E$26,E53),"N/A")</f>
        <v>0.29389357385264808</v>
      </c>
      <c r="F59" s="82">
        <f>IFERROR(RATE(F$6,0,-F$26,F53),"N/A")</f>
        <v>0.25848636112344336</v>
      </c>
      <c r="G59" s="60"/>
    </row>
    <row r="60" spans="1:7" ht="15" thickTop="1" x14ac:dyDescent="0.35">
      <c r="G60" s="60"/>
    </row>
    <row r="61" spans="1:7" x14ac:dyDescent="0.35">
      <c r="G61" s="60"/>
    </row>
    <row r="62" spans="1:7" x14ac:dyDescent="0.35">
      <c r="G62" s="60"/>
    </row>
    <row r="63" spans="1:7" x14ac:dyDescent="0.35">
      <c r="G63" s="60"/>
    </row>
    <row r="64" spans="1:7" x14ac:dyDescent="0.35">
      <c r="G64" s="60"/>
    </row>
  </sheetData>
  <phoneticPr fontId="9" type="noConversion"/>
  <conditionalFormatting sqref="D38:F41">
    <cfRule type="containsText" dxfId="2" priority="1" operator="containsText" text="Yes">
      <formula>NOT(ISERROR(SEARCH("Yes",D38)))</formula>
    </cfRule>
  </conditionalFormatting>
  <conditionalFormatting sqref="D38:F41">
    <cfRule type="containsText" dxfId="1" priority="2" operator="containsText" text="No">
      <formula>NOT(ISERROR(SEARCH("No",D38)))</formula>
    </cfRule>
  </conditionalFormatting>
  <conditionalFormatting sqref="D30:F33">
    <cfRule type="cellIs" dxfId="0" priority="3" operator="greaterThanOrEqual">
      <formula>0.25</formula>
    </cfRule>
  </conditionalFormatting>
  <printOptions horizontalCentered="1"/>
  <pageMargins left="0.7" right="0.7" top="0.75" bottom="0.75" header="0.3" footer="0.3"/>
  <pageSetup scale="85" orientation="landscape" r:id="rId1"/>
  <headerFooter>
    <oddFooter>&amp;CPE Exit Analysis</oddFooter>
  </headerFooter>
  <rowBreaks count="1" manualBreakCount="1">
    <brk id="37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Overview</vt:lpstr>
      <vt:lpstr>Transaction</vt:lpstr>
      <vt:lpstr>Financials</vt:lpstr>
      <vt:lpstr>Exit Analysis</vt:lpstr>
      <vt:lpstr>'Exit Analysis'!Print_Area</vt:lpstr>
      <vt:lpstr>Financials!Print_Area</vt:lpstr>
      <vt:lpstr>Overview!Print_Area</vt:lpstr>
      <vt:lpstr>Transaction!Print_Area</vt:lpstr>
      <vt:lpstr>'Exit Analysis'!Print_Titles</vt:lpstr>
    </vt:vector>
  </TitlesOfParts>
  <Company>Stout Risius Ross,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Kenny</dc:creator>
  <cp:lastModifiedBy>Prabin Pandey</cp:lastModifiedBy>
  <cp:lastPrinted>2022-01-25T20:43:28Z</cp:lastPrinted>
  <dcterms:created xsi:type="dcterms:W3CDTF">2019-03-25T17:34:43Z</dcterms:created>
  <dcterms:modified xsi:type="dcterms:W3CDTF">2026-02-23T16:02:43Z</dcterms:modified>
</cp:coreProperties>
</file>