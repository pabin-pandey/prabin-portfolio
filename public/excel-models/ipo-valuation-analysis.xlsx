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xr:revisionPtr revIDLastSave="0" documentId="13_ncr:1_{96909409-F4D2-472D-8872-A3E9CCE1A419}" xr6:coauthVersionLast="47" xr6:coauthVersionMax="47" xr10:uidLastSave="{00000000-0000-0000-0000-000000000000}"/>
  <bookViews>
    <workbookView xWindow="-110" yWindow="-110" windowWidth="19420" windowHeight="11500" activeTab="3" xr2:uid="{00000000-000D-0000-FFFF-FFFF00000000}"/>
  </bookViews>
  <sheets>
    <sheet name="Situation" sheetId="5" r:id="rId1"/>
    <sheet name="Income Statement" sheetId="2" r:id="rId2"/>
    <sheet name="Balance Sheet" sheetId="3" r:id="rId3"/>
    <sheet name="Valuation" sheetId="6" r:id="rId4"/>
  </sheets>
  <definedNames>
    <definedName name="_xlnm.Print_Titles" localSheetId="2">'Balance Sheet'!$1:$2</definedName>
  </definedNames>
  <calcPr calcId="191029" iterateDelta="9.999999999999445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9" i="6" l="1"/>
  <c r="D35" i="6"/>
  <c r="C35" i="6"/>
  <c r="D34" i="6"/>
  <c r="D33" i="6"/>
  <c r="C33" i="6"/>
  <c r="D29" i="6"/>
  <c r="C18" i="6"/>
  <c r="C20" i="6" s="1"/>
  <c r="D14" i="6"/>
  <c r="D18" i="6" s="1"/>
  <c r="D20" i="6" s="1"/>
  <c r="C14" i="6"/>
  <c r="C34" i="6"/>
  <c r="D25" i="6"/>
  <c r="C31" i="6"/>
  <c r="C30" i="6"/>
  <c r="C25" i="6"/>
  <c r="C16" i="6"/>
  <c r="C15" i="6"/>
  <c r="D9" i="6"/>
  <c r="D8" i="6"/>
  <c r="D10" i="6" s="1"/>
  <c r="C10" i="6"/>
  <c r="C9" i="6"/>
  <c r="C8" i="6"/>
  <c r="C3" i="3"/>
  <c r="D3" i="3"/>
  <c r="B3" i="3"/>
  <c r="C27" i="3"/>
  <c r="D27" i="3"/>
  <c r="E27" i="3"/>
  <c r="B27" i="3"/>
  <c r="C24" i="3"/>
  <c r="C29" i="3" s="1"/>
  <c r="D24" i="3"/>
  <c r="E24" i="3"/>
  <c r="E29" i="3" s="1"/>
  <c r="B24" i="3"/>
  <c r="B29" i="3" s="1"/>
  <c r="C13" i="3"/>
  <c r="D13" i="3"/>
  <c r="E13" i="3"/>
  <c r="B13" i="3"/>
  <c r="C9" i="3"/>
  <c r="D9" i="3"/>
  <c r="E9" i="3"/>
  <c r="B9" i="3"/>
  <c r="B16" i="3" s="1"/>
  <c r="B32" i="3" s="1"/>
  <c r="B33" i="3" s="1"/>
  <c r="B35" i="3" s="1"/>
  <c r="A1" i="3"/>
  <c r="A1" i="6"/>
  <c r="E7" i="2"/>
  <c r="E8" i="2" s="1"/>
  <c r="E9" i="2" s="1"/>
  <c r="D7" i="2"/>
  <c r="D8" i="2" s="1"/>
  <c r="D9" i="2" s="1"/>
  <c r="C7" i="2"/>
  <c r="C8" i="2" s="1"/>
  <c r="B7" i="2"/>
  <c r="B8" i="2" s="1"/>
  <c r="B9" i="2" s="1"/>
  <c r="C14" i="2"/>
  <c r="D14" i="2"/>
  <c r="E14" i="2"/>
  <c r="B14" i="2"/>
  <c r="D29" i="3" l="1"/>
  <c r="C16" i="3"/>
  <c r="C32" i="3" s="1"/>
  <c r="C33" i="3" s="1"/>
  <c r="C35" i="3" s="1"/>
  <c r="E16" i="3"/>
  <c r="E32" i="3" s="1"/>
  <c r="E33" i="3" s="1"/>
  <c r="E35" i="3" s="1"/>
  <c r="D16" i="3"/>
  <c r="D32" i="3" s="1"/>
  <c r="D33" i="3" s="1"/>
  <c r="D35" i="3" s="1"/>
  <c r="C15" i="2"/>
  <c r="D15" i="2"/>
  <c r="B15" i="2"/>
  <c r="B18" i="2" s="1"/>
  <c r="C9" i="2"/>
  <c r="E15" i="2"/>
  <c r="E18" i="2" s="1"/>
  <c r="D16" i="2" l="1"/>
  <c r="D18" i="2"/>
  <c r="C16" i="2"/>
  <c r="C18" i="2"/>
  <c r="C20" i="2" s="1"/>
  <c r="C21" i="2" s="1"/>
  <c r="C22" i="2" s="1"/>
  <c r="D20" i="2"/>
  <c r="D21" i="2" s="1"/>
  <c r="D22" i="2" s="1"/>
  <c r="B20" i="2"/>
  <c r="B21" i="2" s="1"/>
  <c r="B22" i="2" s="1"/>
  <c r="E20" i="2"/>
  <c r="E21" i="2" s="1"/>
  <c r="E22" i="2" s="1"/>
  <c r="E16" i="2"/>
  <c r="B16" i="2"/>
</calcChain>
</file>

<file path=xl/sharedStrings.xml><?xml version="1.0" encoding="utf-8"?>
<sst xmlns="http://schemas.openxmlformats.org/spreadsheetml/2006/main" count="84" uniqueCount="73">
  <si>
    <t>Total Revenue</t>
  </si>
  <si>
    <t>Net Income</t>
  </si>
  <si>
    <t xml:space="preserve">
               </t>
  </si>
  <si>
    <t xml:space="preserve"> </t>
  </si>
  <si>
    <t>Cost Of Goods Sold</t>
  </si>
  <si>
    <t xml:space="preserve">  Gross Profit</t>
  </si>
  <si>
    <t>Selling General &amp; Admin Exp.</t>
  </si>
  <si>
    <t>Other Operating Expense/(Income)</t>
  </si>
  <si>
    <t xml:space="preserve">  Operating Income</t>
  </si>
  <si>
    <t>Interest Expense</t>
  </si>
  <si>
    <t>Income Tax Expense</t>
  </si>
  <si>
    <t xml:space="preserve">Balance Sheet as of:
</t>
  </si>
  <si>
    <t>ASSETS</t>
  </si>
  <si>
    <t>Cash And Equivalents</t>
  </si>
  <si>
    <t>Accounts Receivable</t>
  </si>
  <si>
    <t>Inventory</t>
  </si>
  <si>
    <t>Other Current Assets</t>
  </si>
  <si>
    <t xml:space="preserve">  Total Current Assets</t>
  </si>
  <si>
    <t>Gross Property, Plant &amp; Equipment</t>
  </si>
  <si>
    <t>Accumulated Depreciation</t>
  </si>
  <si>
    <t xml:space="preserve">  Net Property, Plant &amp; Equipment</t>
  </si>
  <si>
    <t>Other Long-Term Assets</t>
  </si>
  <si>
    <t>Total Assets</t>
  </si>
  <si>
    <t>LIABILITIES</t>
  </si>
  <si>
    <t>Accounts Payable</t>
  </si>
  <si>
    <t>Other Current Liabilities</t>
  </si>
  <si>
    <t xml:space="preserve">  Total Current Liabilities</t>
  </si>
  <si>
    <t>Long-Term Debt</t>
  </si>
  <si>
    <t>Other Non-Current Liabilities</t>
  </si>
  <si>
    <t>Total Liabilities</t>
  </si>
  <si>
    <t>Retained Earnings</t>
  </si>
  <si>
    <t>Total Liabilities And Equity</t>
  </si>
  <si>
    <t>FAMILY MARKETS, INC.</t>
  </si>
  <si>
    <t>Actual 12/31/2021</t>
  </si>
  <si>
    <t>Depreciation &amp; Amortization</t>
  </si>
  <si>
    <t xml:space="preserve">  Total Operating Expenses</t>
  </si>
  <si>
    <t>Margin</t>
  </si>
  <si>
    <t>One-Time/Unusual Charges</t>
  </si>
  <si>
    <t>Earnings before Tax</t>
  </si>
  <si>
    <t>Valuation Analysis</t>
  </si>
  <si>
    <t>INCOME STATEMENTS</t>
  </si>
  <si>
    <t>Most Recent</t>
  </si>
  <si>
    <r>
      <t xml:space="preserve">NOTE:  WE WILL DISCUSS IMPLICATIONS OF </t>
    </r>
    <r>
      <rPr>
        <b/>
        <u/>
        <sz val="10"/>
        <rFont val="Arial"/>
        <family val="2"/>
      </rPr>
      <t>FASB 842 LEASE ACCOUNTING</t>
    </r>
    <r>
      <rPr>
        <b/>
        <sz val="10"/>
        <rFont val="Arial"/>
        <family val="2"/>
      </rPr>
      <t xml:space="preserve"> ON THE CALCULATION OF MULTIPLES</t>
    </r>
  </si>
  <si>
    <t>Operating Lease Right of Use Asset</t>
  </si>
  <si>
    <t>Accrued Expense</t>
  </si>
  <si>
    <t>Current Portion of Long-Term Debt</t>
  </si>
  <si>
    <t>Current Portion of Leases</t>
  </si>
  <si>
    <t>Long-Term Lease Obligations</t>
  </si>
  <si>
    <t>Common Stock/Paid in Capital</t>
  </si>
  <si>
    <t xml:space="preserve">  Total Equity</t>
  </si>
  <si>
    <t>EBITDA</t>
  </si>
  <si>
    <t>Recent Year</t>
  </si>
  <si>
    <t>Next Year</t>
  </si>
  <si>
    <t>Adjustments</t>
  </si>
  <si>
    <t>Adjusted EBITDA</t>
  </si>
  <si>
    <t>Selected Multiple</t>
  </si>
  <si>
    <t>Enterprise Value</t>
  </si>
  <si>
    <t>Add: Cash</t>
  </si>
  <si>
    <t>Less: Debt</t>
  </si>
  <si>
    <t>Common Equity Value</t>
  </si>
  <si>
    <t>Multiple of EBITDA</t>
  </si>
  <si>
    <t>Multiple of Revenue</t>
  </si>
  <si>
    <t>Revenue</t>
  </si>
  <si>
    <t xml:space="preserve">For the Fiscal Year Ending ($millions)
</t>
  </si>
  <si>
    <t>($millions)</t>
  </si>
  <si>
    <t>$ in millions</t>
  </si>
  <si>
    <t>Shares Outstanding</t>
  </si>
  <si>
    <t>Value per Share</t>
  </si>
  <si>
    <t>FIN 5637 CLASSWORK</t>
  </si>
  <si>
    <t>Forecast 12/31/2024</t>
  </si>
  <si>
    <t>Actual 12/31/2022</t>
  </si>
  <si>
    <t>Actual 12/31/2023</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</si>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</sst>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0_);_(* \(#,##0.0\)_)\ ;_(* 0_)"/>
    <numFmt numFmtId="165" formatCode="mmm\-dd\-yyyy"/>
    <numFmt numFmtId="166" formatCode="_(&quot;$&quot;* #,##0.0_);_(&quot;$&quot;* \(#,##0.0\);_(&quot;$&quot;* &quot;-&quot;??_);_(@_)"/>
    <numFmt numFmtId="167" formatCode="0.0%"/>
    <numFmt numFmtId="168" formatCode="_(* #,##0.0_);_(* \(#,##0.0\);_(* &quot;-&quot;??_);_(@_)"/>
    <numFmt numFmtId="169" formatCode="_(* #,##0.000_);_(* \(#,##0.000\);_(* &quot;-&quot;??_);_(@_)"/>
  </numFmts>
  <fonts count="29" x14ac:knownFonts="1">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sz val="10"/>
      <name val="Arial"/>
      <family val="2"/>
    </font>
    <font>
      <b/>
      <sz val="14"/>
      <name val="Arial"/>
      <family val="2"/>
    </font>
    <font>
      <b/>
      <sz val="12"/>
      <name val="Arial"/>
      <family val="2"/>
    </font>
    <font>
      <sz val="12"/>
      <name val="Arial"/>
      <family val="2"/>
    </font>
    <font>
      <b/>
      <sz val="11"/>
      <color indexed="8"/>
      <name val="Arial"/>
      <family val="2"/>
    </font>
    <font>
      <sz val="11"/>
      <color indexed="8"/>
      <name val="Arial"/>
      <family val="2"/>
    </font>
    <font>
      <i/>
      <sz val="9"/>
      <color indexed="8"/>
      <name val="Arial"/>
      <family val="2"/>
    </font>
    <font>
      <sz val="11"/>
      <name val="Arial"/>
      <family val="2"/>
    </font>
    <font>
      <b/>
      <u val="double"/>
      <sz val="11"/>
      <color indexed="8"/>
      <name val="Arial"/>
      <family val="2"/>
    </font>
    <font>
      <b/>
      <sz val="10"/>
      <name val="Arial"/>
      <family val="2"/>
    </font>
    <font>
      <b/>
      <u/>
      <sz val="10"/>
      <name val="Arial"/>
      <family val="2"/>
    </font>
    <font>
      <b/>
      <u/>
      <sz val="12"/>
      <name val="Arial"/>
      <family val="2"/>
    </font>
    <font>
      <b/>
      <u/>
      <sz val="14"/>
      <name val="Arial"/>
      <family val="2"/>
    </font>
  </fonts>
  <fills count="9">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
      <patternFill patternType="solid">
        <fgColor theme="0"/>
        <bgColor indexed="64"/>
      </patternFill>
    </fill>
    <fill>
      <patternFill patternType="solid">
        <fgColor theme="0" tint="-0.14999847407452621"/>
        <bgColor indexed="64"/>
      </patternFill>
    </fill>
    <fill>
      <patternFill patternType="solid">
        <fgColor theme="9"/>
        <bgColor indexed="64"/>
      </patternFill>
    </fill>
  </fills>
  <borders count="4">
    <border>
      <left/>
      <right/>
      <top/>
      <bottom/>
      <diagonal/>
    </border>
    <border>
      <left/>
      <right/>
      <top style="thin">
        <color indexed="8"/>
      </top>
      <bottom/>
      <diagonal/>
    </border>
    <border>
      <left/>
      <right/>
      <top style="thin">
        <color indexed="8"/>
      </top>
      <bottom style="thin">
        <color indexed="64"/>
      </bottom>
      <diagonal/>
    </border>
    <border>
      <left/>
      <right/>
      <top/>
      <bottom style="thin">
        <color indexed="64"/>
      </bottom>
      <diagonal/>
    </border>
  </borders>
  <cellStyleXfs count="19">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cellStyleXfs>
  <cellXfs count="48">
    <xf numFmtId="0" fontId="1" fillId="0" borderId="0" xfId="0" applyFont="1"/>
    <xf numFmtId="0" fontId="8" fillId="0" borderId="0" xfId="0" applyFont="1" applyAlignment="1">
      <alignment horizontal="left" vertical="top"/>
    </xf>
    <xf numFmtId="0" fontId="1" fillId="0" borderId="0" xfId="0" applyFont="1" applyAlignment="1">
      <alignment vertical="top" wrapText="1"/>
    </xf>
    <xf numFmtId="0" fontId="8" fillId="0" borderId="0" xfId="0" applyFont="1" applyAlignment="1">
      <alignment horizontal="center" vertical="center"/>
    </xf>
    <xf numFmtId="0" fontId="17" fillId="0" borderId="0" xfId="0" applyFont="1"/>
    <xf numFmtId="0" fontId="18" fillId="0" borderId="0" xfId="0" applyFont="1"/>
    <xf numFmtId="0" fontId="19" fillId="0" borderId="0" xfId="0" applyFont="1"/>
    <xf numFmtId="0" fontId="20" fillId="5" borderId="0" xfId="0" applyFont="1" applyFill="1" applyAlignment="1">
      <alignment horizontal="center" wrapText="1"/>
    </xf>
    <xf numFmtId="0" fontId="20" fillId="0" borderId="0" xfId="0" applyFont="1" applyAlignment="1">
      <alignment horizontal="left"/>
    </xf>
    <xf numFmtId="0" fontId="21" fillId="0" borderId="0" xfId="0" applyFont="1" applyAlignment="1">
      <alignment horizontal="left" vertical="top"/>
    </xf>
    <xf numFmtId="166" fontId="20" fillId="0" borderId="0" xfId="17" applyNumberFormat="1" applyFont="1" applyAlignment="1">
      <alignment horizontal="right" wrapText="1"/>
    </xf>
    <xf numFmtId="0" fontId="21" fillId="0" borderId="0" xfId="0" applyFont="1" applyAlignment="1">
      <alignment horizontal="left"/>
    </xf>
    <xf numFmtId="164" fontId="21" fillId="0" borderId="0" xfId="0" applyNumberFormat="1" applyFont="1" applyAlignment="1">
      <alignment horizontal="right" wrapText="1"/>
    </xf>
    <xf numFmtId="164" fontId="20" fillId="0" borderId="1" xfId="0" applyNumberFormat="1" applyFont="1" applyBorder="1" applyAlignment="1">
      <alignment horizontal="right" wrapText="1"/>
    </xf>
    <xf numFmtId="164" fontId="20" fillId="0" borderId="2" xfId="0" applyNumberFormat="1" applyFont="1" applyBorder="1" applyAlignment="1">
      <alignment horizontal="right" wrapText="1"/>
    </xf>
    <xf numFmtId="164" fontId="20" fillId="0" borderId="0" xfId="0" applyNumberFormat="1" applyFont="1" applyAlignment="1">
      <alignment horizontal="right" wrapText="1"/>
    </xf>
    <xf numFmtId="168" fontId="20" fillId="0" borderId="1" xfId="16" applyNumberFormat="1" applyFont="1" applyBorder="1" applyAlignment="1">
      <alignment horizontal="right" wrapText="1"/>
    </xf>
    <xf numFmtId="166" fontId="20" fillId="0" borderId="1" xfId="17" applyNumberFormat="1" applyFont="1" applyBorder="1" applyAlignment="1">
      <alignment horizontal="right" wrapText="1"/>
    </xf>
    <xf numFmtId="167" fontId="22" fillId="0" borderId="0" xfId="18" applyNumberFormat="1" applyFont="1" applyAlignment="1">
      <alignment horizontal="right"/>
    </xf>
    <xf numFmtId="0" fontId="22" fillId="0" borderId="0" xfId="0" applyFont="1" applyAlignment="1">
      <alignment horizontal="right"/>
    </xf>
    <xf numFmtId="167" fontId="22" fillId="0" borderId="0" xfId="18" applyNumberFormat="1" applyFont="1" applyBorder="1" applyAlignment="1">
      <alignment horizontal="right" wrapText="1"/>
    </xf>
    <xf numFmtId="0" fontId="20" fillId="5" borderId="0" xfId="0" applyFont="1" applyFill="1" applyAlignment="1">
      <alignment horizontal="left" vertical="top" wrapText="1"/>
    </xf>
    <xf numFmtId="0" fontId="23" fillId="0" borderId="0" xfId="0" applyFont="1"/>
    <xf numFmtId="0" fontId="20" fillId="5" borderId="0" xfId="0" applyFont="1" applyFill="1" applyAlignment="1">
      <alignment wrapText="1"/>
    </xf>
    <xf numFmtId="165" fontId="20" fillId="5" borderId="0" xfId="0" applyNumberFormat="1" applyFont="1" applyFill="1" applyAlignment="1">
      <alignment horizontal="right" wrapText="1"/>
    </xf>
    <xf numFmtId="0" fontId="20" fillId="0" borderId="0" xfId="0" applyFont="1" applyAlignment="1">
      <alignment horizontal="left" vertical="top"/>
    </xf>
    <xf numFmtId="164" fontId="21" fillId="0" borderId="0" xfId="0" applyNumberFormat="1" applyFont="1" applyAlignment="1">
      <alignment horizontal="right" vertical="top" wrapText="1"/>
    </xf>
    <xf numFmtId="164" fontId="20" fillId="0" borderId="1" xfId="0" applyNumberFormat="1" applyFont="1" applyBorder="1" applyAlignment="1">
      <alignment horizontal="right" vertical="top" wrapText="1"/>
    </xf>
    <xf numFmtId="0" fontId="25" fillId="0" borderId="0" xfId="0" applyFont="1" applyAlignment="1">
      <alignment vertical="top" wrapText="1"/>
    </xf>
    <xf numFmtId="164" fontId="21" fillId="6" borderId="0" xfId="0" applyNumberFormat="1" applyFont="1" applyFill="1" applyAlignment="1">
      <alignment horizontal="right" vertical="top" wrapText="1"/>
    </xf>
    <xf numFmtId="164" fontId="20" fillId="6" borderId="1" xfId="0" applyNumberFormat="1" applyFont="1" applyFill="1" applyBorder="1" applyAlignment="1">
      <alignment horizontal="right" vertical="top" wrapText="1"/>
    </xf>
    <xf numFmtId="0" fontId="21" fillId="6" borderId="0" xfId="0" applyFont="1" applyFill="1" applyAlignment="1">
      <alignment horizontal="left" vertical="top"/>
    </xf>
    <xf numFmtId="166" fontId="21" fillId="6" borderId="0" xfId="17" applyNumberFormat="1" applyFont="1" applyFill="1" applyAlignment="1">
      <alignment horizontal="right" vertical="top" wrapText="1"/>
    </xf>
    <xf numFmtId="166" fontId="24" fillId="0" borderId="1" xfId="17" applyNumberFormat="1" applyFont="1" applyBorder="1" applyAlignment="1">
      <alignment horizontal="right" vertical="top" wrapText="1"/>
    </xf>
    <xf numFmtId="164" fontId="20" fillId="0" borderId="2" xfId="0" applyNumberFormat="1" applyFont="1" applyBorder="1" applyAlignment="1">
      <alignment horizontal="right" vertical="top" wrapText="1"/>
    </xf>
    <xf numFmtId="166" fontId="24" fillId="0" borderId="0" xfId="17" applyNumberFormat="1" applyFont="1" applyAlignment="1">
      <alignment horizontal="right" vertical="top" wrapText="1"/>
    </xf>
    <xf numFmtId="0" fontId="19" fillId="0" borderId="3" xfId="0" applyFont="1" applyBorder="1" applyAlignment="1">
      <alignment horizontal="center"/>
    </xf>
    <xf numFmtId="166" fontId="19" fillId="7" borderId="0" xfId="17" applyNumberFormat="1" applyFont="1" applyFill="1"/>
    <xf numFmtId="168" fontId="19" fillId="7" borderId="0" xfId="16" applyNumberFormat="1" applyFont="1" applyFill="1"/>
    <xf numFmtId="166" fontId="19" fillId="7" borderId="0" xfId="0" applyNumberFormat="1" applyFont="1" applyFill="1"/>
    <xf numFmtId="0" fontId="27" fillId="0" borderId="0" xfId="0" applyFont="1"/>
    <xf numFmtId="0" fontId="23" fillId="0" borderId="0" xfId="0" quotePrefix="1" applyFont="1"/>
    <xf numFmtId="0" fontId="18" fillId="0" borderId="0" xfId="0" quotePrefix="1" applyFont="1"/>
    <xf numFmtId="169" fontId="19" fillId="7" borderId="0" xfId="16" applyNumberFormat="1" applyFont="1" applyFill="1"/>
    <xf numFmtId="43" fontId="19" fillId="7" borderId="0" xfId="16" applyFont="1" applyFill="1"/>
    <xf numFmtId="0" fontId="28" fillId="0" borderId="0" xfId="0" applyFont="1"/>
    <xf numFmtId="10" fontId="1" fillId="0" borderId="0" xfId="0" applyNumberFormat="1" applyFont="1"/>
    <xf numFmtId="44" fontId="19" fillId="8" borderId="0" xfId="0" applyNumberFormat="1" applyFont="1" applyFill="1"/>
  </cellXfs>
  <cellStyles count="22">
    <cellStyle name="ChartingText" xfId="14" xr:uid="{00000000-0005-0000-0000-000000000000}"/>
    <cellStyle name="CHPAboveAverage" xfId="15" xr:uid="{00000000-0005-0000-0000-000001000000}"/>
    <cellStyle name="CHPBelowAverage" xfId="15" xr:uid="{00000000-0005-0000-0000-000002000000}"/>
    <cellStyle name="CHPBottom" xfId="15" xr:uid="{00000000-0005-0000-0000-000003000000}"/>
    <cellStyle name="CHPTop" xfId="15" xr:uid="{00000000-0005-0000-0000-000004000000}"/>
    <cellStyle name="ColumnHeaderNormal" xfId="6" xr:uid="{00000000-0005-0000-0000-000005000000}"/>
    <cellStyle name="Comma" xfId="16" builtinId="3"/>
    <cellStyle name="Currency" xfId="17" builtinId="4"/>
    <cellStyle name="Invisible" xfId="13" xr:uid="{00000000-0005-0000-0000-000006000000}"/>
    <cellStyle name="NewColumnHeaderNormal" xfId="4" xr:uid="{00000000-0005-0000-0000-000007000000}"/>
    <cellStyle name="NewSectionHeaderNormal" xfId="3" xr:uid="{00000000-0005-0000-0000-000008000000}"/>
    <cellStyle name="NewTitleNormal" xfId="2" xr:uid="{00000000-0005-0000-0000-000009000000}"/>
    <cellStyle name="Normal" xfId="0" builtinId="0"/>
    <cellStyle name="Percent" xfId="18" builtinId="5"/>
    <cellStyle name="SectionHeaderNormal" xfId="5" xr:uid="{00000000-0005-0000-0000-00000B000000}"/>
    <cellStyle name="SubScript" xfId="9" xr:uid="{00000000-0005-0000-0000-00000C000000}"/>
    <cellStyle name="SuperScript" xfId="8" xr:uid="{00000000-0005-0000-0000-00000D000000}"/>
    <cellStyle name="TextBold" xfId="10" xr:uid="{00000000-0005-0000-0000-00000E000000}"/>
    <cellStyle name="TextItalic" xfId="11" xr:uid="{00000000-0005-0000-0000-00000F000000}"/>
    <cellStyle name="TextNormal" xfId="7" xr:uid="{00000000-0005-0000-0000-000010000000}"/>
    <cellStyle name="TitleNormal" xfId="1" xr:uid="{00000000-0005-0000-0000-000011000000}"/>
    <cellStyle name="Total" xfId="12"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223838</xdr:colOff>
      <xdr:row>2</xdr:row>
      <xdr:rowOff>61913</xdr:rowOff>
    </xdr:from>
    <xdr:to>
      <xdr:col>13</xdr:col>
      <xdr:colOff>109538</xdr:colOff>
      <xdr:row>13</xdr:row>
      <xdr:rowOff>128586</xdr:rowOff>
    </xdr:to>
    <xdr:sp macro="" textlink="">
      <xdr:nvSpPr>
        <xdr:cNvPr id="2" name="TextBox 1">
          <a:extLst>
            <a:ext uri="{FF2B5EF4-FFF2-40B4-BE49-F238E27FC236}">
              <a16:creationId xmlns:a16="http://schemas.microsoft.com/office/drawing/2014/main" id="{543E7292-D39D-1B71-3EDE-142D78FB8ACF}"/>
            </a:ext>
          </a:extLst>
        </xdr:cNvPr>
        <xdr:cNvSpPr txBox="1"/>
      </xdr:nvSpPr>
      <xdr:spPr>
        <a:xfrm>
          <a:off x="223838" y="566738"/>
          <a:ext cx="8305800" cy="2843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Family Markets, Inc. (FMI) is a regional grocery store chain with approximately 500 stores located in various states on the East Coast of the U.S.  It is a privately-held company currently owned by members of the founding family.  FMI has been approached by private equity investors that are interested in purchasing the company.  However, the family is not interested in selling a controlling interest at this time.  </a:t>
          </a:r>
        </a:p>
        <a:p>
          <a:endParaRPr lang="en-US" sz="1200"/>
        </a:p>
        <a:p>
          <a:r>
            <a:rPr lang="en-US" sz="1200"/>
            <a:t>FMI has hired an investment banker to take FMI</a:t>
          </a:r>
          <a:r>
            <a:rPr lang="en-US" sz="1200" baseline="0"/>
            <a:t> public.  FMI has 50.5 million shares outstanding held by various family members.  FMI will only sell a small minority interest position in the company in the IPO so the family will maintain control.  This transaction will provide liquidity to the family members who may want to sell a portion of their shares when FMI is public.</a:t>
          </a:r>
        </a:p>
        <a:p>
          <a:endParaRPr lang="en-US" sz="1200" baseline="0"/>
        </a:p>
        <a:p>
          <a:r>
            <a:rPr lang="en-US" sz="1200" baseline="0"/>
            <a:t>You are an analyst at the investment bank and have been tasked with determining a potential share value of FMI in connection with the IPO process.  You will use the market multiple valuation method to value FMI.  </a:t>
          </a:r>
          <a:r>
            <a:rPr lang="en-US" sz="1200" b="1" baseline="0"/>
            <a:t>Certain companies </a:t>
          </a:r>
          <a:r>
            <a:rPr lang="en-US" sz="1200" baseline="0"/>
            <a:t>in the peer group (as reflected on Capital IQ) of Weis Markets, Inc., a grocery chain, are considered comparable to FMI.</a:t>
          </a:r>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AA88-F567-4C3D-B0E5-461D96F9B41F}">
  <dimension ref="A1"/>
  <sheetViews>
    <sheetView showGridLines="0" workbookViewId="0">
      <selection activeCell="N21" sqref="N21"/>
    </sheetView>
  </sheetViews>
  <sheetFormatPr defaultRowHeight="19.899999999999999" customHeight="1" x14ac:dyDescent="0.2"/>
  <sheetData>
    <row r="1" spans="1:1" ht="19.899999999999999" customHeight="1" x14ac:dyDescent="0.4">
      <c r="A1" s="45" t="s">
        <v>68</v>
      </c>
    </row>
  </sheetData>
  <pageMargins left="0.7" right="0.7" top="0.75" bottom="0.75" header="0.3" footer="0.3"/>
  <pageSetup scale="85" orientation="landscape" r:id="rId1"/>
  <headerFooter>
    <oddFooter>&amp;LPage &amp;P&amp;CFIN 4596&amp;RIPO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autoPageBreaks="0"/>
  </sheetPr>
  <dimension ref="A1:F25"/>
  <sheetViews>
    <sheetView showGridLines="0" topLeftCell="A12" workbookViewId="0">
      <selection activeCell="B30" sqref="B30"/>
    </sheetView>
  </sheetViews>
  <sheetFormatPr defaultRowHeight="18.399999999999999" customHeight="1" x14ac:dyDescent="0.2"/>
  <cols>
    <col min="1" max="1" width="45.81640625" customWidth="1"/>
    <col min="2" max="2" width="14.54296875" customWidth="1"/>
    <col min="3" max="5" width="14.7265625" customWidth="1"/>
  </cols>
  <sheetData>
    <row r="1" spans="1:6" ht="27" customHeight="1" x14ac:dyDescent="0.4">
      <c r="A1" s="4" t="s">
        <v>32</v>
      </c>
    </row>
    <row r="2" spans="1:6" ht="18.399999999999999" customHeight="1" x14ac:dyDescent="0.3">
      <c r="A2" s="8" t="s">
        <v>40</v>
      </c>
    </row>
    <row r="3" spans="1:6" ht="43.15" customHeight="1" x14ac:dyDescent="0.3">
      <c r="A3" s="21" t="s">
        <v>63</v>
      </c>
      <c r="B3" s="7" t="s">
        <v>33</v>
      </c>
      <c r="C3" s="7" t="s">
        <v>70</v>
      </c>
      <c r="D3" s="7" t="s">
        <v>71</v>
      </c>
      <c r="E3" s="7" t="s">
        <v>69</v>
      </c>
    </row>
    <row r="4" spans="1:6" ht="18.399999999999999" customHeight="1" x14ac:dyDescent="0.3">
      <c r="A4" s="8" t="s">
        <v>3</v>
      </c>
      <c r="B4" s="9"/>
      <c r="C4" s="9"/>
      <c r="D4" s="9"/>
      <c r="E4" s="9"/>
    </row>
    <row r="5" spans="1:6" ht="18.399999999999999" customHeight="1" x14ac:dyDescent="0.3">
      <c r="A5" s="8" t="s">
        <v>0</v>
      </c>
      <c r="B5" s="10">
        <v>5345</v>
      </c>
      <c r="C5" s="10">
        <v>5823</v>
      </c>
      <c r="D5" s="10">
        <v>6023</v>
      </c>
      <c r="E5" s="10">
        <v>6425</v>
      </c>
      <c r="F5" s="46">
        <v>6.7000000000000004E-2</v>
      </c>
    </row>
    <row r="6" spans="1:6" ht="18.399999999999999" customHeight="1" x14ac:dyDescent="0.3">
      <c r="A6" s="11"/>
      <c r="B6" s="11"/>
      <c r="C6" s="11"/>
      <c r="D6" s="11"/>
      <c r="E6" s="11"/>
    </row>
    <row r="7" spans="1:6" ht="18.399999999999999" customHeight="1" x14ac:dyDescent="0.3">
      <c r="A7" s="11" t="s">
        <v>4</v>
      </c>
      <c r="B7" s="12">
        <f>+B5*0.752</f>
        <v>4019.44</v>
      </c>
      <c r="C7" s="12">
        <f>+C5*0.756</f>
        <v>4402.1880000000001</v>
      </c>
      <c r="D7" s="12">
        <f>+D5*0.757</f>
        <v>4559.4110000000001</v>
      </c>
      <c r="E7" s="12">
        <f>+E5*0.758</f>
        <v>4870.1499999999996</v>
      </c>
    </row>
    <row r="8" spans="1:6" ht="18.399999999999999" customHeight="1" x14ac:dyDescent="0.3">
      <c r="A8" s="8" t="s">
        <v>5</v>
      </c>
      <c r="B8" s="13">
        <f>+B5-B7</f>
        <v>1325.56</v>
      </c>
      <c r="C8" s="13">
        <f t="shared" ref="C8:E8" si="0">+C5-C7</f>
        <v>1420.8119999999999</v>
      </c>
      <c r="D8" s="13">
        <f t="shared" si="0"/>
        <v>1463.5889999999999</v>
      </c>
      <c r="E8" s="13">
        <f t="shared" si="0"/>
        <v>1554.8500000000004</v>
      </c>
    </row>
    <row r="9" spans="1:6" ht="18.399999999999999" customHeight="1" x14ac:dyDescent="0.3">
      <c r="A9" s="19" t="s">
        <v>36</v>
      </c>
      <c r="B9" s="18">
        <f>+B8/B5</f>
        <v>0.248</v>
      </c>
      <c r="C9" s="18">
        <f t="shared" ref="C9:E9" si="1">+C8/C5</f>
        <v>0.24399999999999999</v>
      </c>
      <c r="D9" s="18">
        <f t="shared" si="1"/>
        <v>0.24299999999999999</v>
      </c>
      <c r="E9" s="18">
        <f t="shared" si="1"/>
        <v>0.24200000000000005</v>
      </c>
    </row>
    <row r="10" spans="1:6" ht="18.399999999999999" customHeight="1" x14ac:dyDescent="0.3">
      <c r="A10" s="11" t="s">
        <v>6</v>
      </c>
      <c r="B10" s="12">
        <v>934</v>
      </c>
      <c r="C10" s="12">
        <v>982</v>
      </c>
      <c r="D10" s="12">
        <v>1025</v>
      </c>
      <c r="E10" s="12">
        <v>1083</v>
      </c>
    </row>
    <row r="11" spans="1:6" ht="18.399999999999999" customHeight="1" x14ac:dyDescent="0.3">
      <c r="A11" s="11" t="s">
        <v>34</v>
      </c>
      <c r="B11" s="12">
        <v>78</v>
      </c>
      <c r="C11" s="12">
        <v>81</v>
      </c>
      <c r="D11" s="12">
        <v>86</v>
      </c>
      <c r="E11" s="12">
        <v>90</v>
      </c>
    </row>
    <row r="12" spans="1:6" ht="18.399999999999999" customHeight="1" x14ac:dyDescent="0.3">
      <c r="A12" s="11" t="s">
        <v>37</v>
      </c>
      <c r="B12" s="12">
        <v>0</v>
      </c>
      <c r="C12" s="12">
        <v>17</v>
      </c>
      <c r="D12" s="12">
        <v>5</v>
      </c>
      <c r="E12" s="12">
        <v>8</v>
      </c>
    </row>
    <row r="13" spans="1:6" ht="18.399999999999999" customHeight="1" x14ac:dyDescent="0.3">
      <c r="A13" s="11" t="s">
        <v>7</v>
      </c>
      <c r="B13" s="12">
        <v>3</v>
      </c>
      <c r="C13" s="12">
        <v>4</v>
      </c>
      <c r="D13" s="12">
        <v>2</v>
      </c>
      <c r="E13" s="12">
        <v>5</v>
      </c>
    </row>
    <row r="14" spans="1:6" ht="18.399999999999999" customHeight="1" x14ac:dyDescent="0.3">
      <c r="A14" s="8" t="s">
        <v>35</v>
      </c>
      <c r="B14" s="14">
        <f>SUM(B10:B13)</f>
        <v>1015</v>
      </c>
      <c r="C14" s="14">
        <f t="shared" ref="C14:E14" si="2">SUM(C10:C13)</f>
        <v>1084</v>
      </c>
      <c r="D14" s="14">
        <f t="shared" si="2"/>
        <v>1118</v>
      </c>
      <c r="E14" s="14">
        <f t="shared" si="2"/>
        <v>1186</v>
      </c>
    </row>
    <row r="15" spans="1:6" ht="18.399999999999999" customHeight="1" x14ac:dyDescent="0.3">
      <c r="A15" s="8" t="s">
        <v>8</v>
      </c>
      <c r="B15" s="15">
        <f>+B8-B14</f>
        <v>310.55999999999995</v>
      </c>
      <c r="C15" s="15">
        <f>+C8-C14</f>
        <v>336.8119999999999</v>
      </c>
      <c r="D15" s="15">
        <f>+D8-D14</f>
        <v>345.58899999999994</v>
      </c>
      <c r="E15" s="15">
        <f>+E8-E14</f>
        <v>368.85000000000036</v>
      </c>
    </row>
    <row r="16" spans="1:6" ht="18.399999999999999" customHeight="1" x14ac:dyDescent="0.3">
      <c r="A16" s="19" t="s">
        <v>36</v>
      </c>
      <c r="B16" s="18">
        <f>+B15/B5</f>
        <v>5.8102899906454619E-2</v>
      </c>
      <c r="C16" s="18">
        <f>+C15/C5</f>
        <v>5.7841662373347057E-2</v>
      </c>
      <c r="D16" s="18">
        <f>+D15/D5</f>
        <v>5.7378216835464048E-2</v>
      </c>
      <c r="E16" s="18">
        <f>+E15/E5</f>
        <v>5.74085603112841E-2</v>
      </c>
    </row>
    <row r="17" spans="1:5" ht="18.399999999999999" customHeight="1" x14ac:dyDescent="0.3">
      <c r="A17" s="11" t="s">
        <v>9</v>
      </c>
      <c r="B17" s="12">
        <v>45</v>
      </c>
      <c r="C17" s="12">
        <v>38</v>
      </c>
      <c r="D17" s="12">
        <v>36</v>
      </c>
      <c r="E17" s="12">
        <v>35</v>
      </c>
    </row>
    <row r="18" spans="1:5" ht="18.399999999999999" customHeight="1" x14ac:dyDescent="0.3">
      <c r="A18" s="8" t="s">
        <v>38</v>
      </c>
      <c r="B18" s="16">
        <f>+B15-B17</f>
        <v>265.55999999999995</v>
      </c>
      <c r="C18" s="16">
        <f t="shared" ref="C18:E18" si="3">+C15-C17</f>
        <v>298.8119999999999</v>
      </c>
      <c r="D18" s="16">
        <f t="shared" si="3"/>
        <v>309.58899999999994</v>
      </c>
      <c r="E18" s="16">
        <f t="shared" si="3"/>
        <v>333.85000000000036</v>
      </c>
    </row>
    <row r="19" spans="1:5" ht="18.399999999999999" customHeight="1" x14ac:dyDescent="0.3">
      <c r="A19" s="11"/>
      <c r="B19" s="11"/>
      <c r="C19" s="11"/>
      <c r="D19" s="11"/>
      <c r="E19" s="11"/>
    </row>
    <row r="20" spans="1:5" ht="18.399999999999999" customHeight="1" x14ac:dyDescent="0.3">
      <c r="A20" s="11" t="s">
        <v>10</v>
      </c>
      <c r="B20" s="12">
        <f>+B18*0.22</f>
        <v>58.423199999999987</v>
      </c>
      <c r="C20" s="12">
        <f t="shared" ref="C20:E20" si="4">+C18*0.22</f>
        <v>65.738639999999975</v>
      </c>
      <c r="D20" s="12">
        <f t="shared" si="4"/>
        <v>68.109579999999994</v>
      </c>
      <c r="E20" s="12">
        <f t="shared" si="4"/>
        <v>73.447000000000074</v>
      </c>
    </row>
    <row r="21" spans="1:5" ht="18.399999999999999" customHeight="1" x14ac:dyDescent="0.3">
      <c r="A21" s="8" t="s">
        <v>1</v>
      </c>
      <c r="B21" s="17">
        <f>+B18-B20</f>
        <v>207.13679999999997</v>
      </c>
      <c r="C21" s="17">
        <f t="shared" ref="C21:E21" si="5">+C18-C20</f>
        <v>233.07335999999992</v>
      </c>
      <c r="D21" s="17">
        <f t="shared" si="5"/>
        <v>241.47941999999995</v>
      </c>
      <c r="E21" s="17">
        <f t="shared" si="5"/>
        <v>260.4030000000003</v>
      </c>
    </row>
    <row r="22" spans="1:5" ht="18.399999999999999" customHeight="1" x14ac:dyDescent="0.3">
      <c r="A22" s="19" t="s">
        <v>36</v>
      </c>
      <c r="B22" s="20">
        <f>+B21/B5</f>
        <v>3.8753376987839094E-2</v>
      </c>
      <c r="C22" s="20">
        <f>+C21/C5</f>
        <v>4.0026336939721782E-2</v>
      </c>
      <c r="D22" s="20">
        <f>+D21/D5</f>
        <v>4.0092880624273609E-2</v>
      </c>
      <c r="E22" s="20">
        <f>+E21/E5</f>
        <v>4.0529649805447515E-2</v>
      </c>
    </row>
    <row r="23" spans="1:5" ht="18.399999999999999" customHeight="1" x14ac:dyDescent="0.2">
      <c r="A23" s="1"/>
      <c r="B23" s="1"/>
      <c r="C23" s="1"/>
      <c r="D23" s="1"/>
      <c r="E23" s="1"/>
    </row>
    <row r="24" spans="1:5" ht="46.5" customHeight="1" x14ac:dyDescent="0.2">
      <c r="A24" s="28" t="s">
        <v>42</v>
      </c>
      <c r="B24" s="2"/>
      <c r="C24" s="2"/>
      <c r="D24" s="2"/>
      <c r="E24" s="2"/>
    </row>
    <row r="25" spans="1:5" ht="18.399999999999999" customHeight="1" x14ac:dyDescent="0.2">
      <c r="A25" s="3" t="s">
        <v>2</v>
      </c>
    </row>
  </sheetData>
  <phoneticPr fontId="0" type="noConversion"/>
  <pageMargins left="0.2" right="0.2" top="0.5" bottom="0.5" header="0.5" footer="0.5"/>
  <pageSetup fitToWidth="0" fitToHeight="0" orientation="landscape" r:id="rId1"/>
  <headerFooter alignWithMargins="0">
    <oddFooter>&amp;LPage &amp;P&amp;CFIN 4596&amp;RIPO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autoPageBreaks="0"/>
  </sheetPr>
  <dimension ref="A1:E36"/>
  <sheetViews>
    <sheetView showGridLines="0" workbookViewId="0">
      <selection activeCell="B3" sqref="B3:D3"/>
    </sheetView>
  </sheetViews>
  <sheetFormatPr defaultColWidth="9" defaultRowHeight="17" customHeight="1" x14ac:dyDescent="0.3"/>
  <cols>
    <col min="1" max="1" width="45.81640625" style="22" customWidth="1"/>
    <col min="2" max="5" width="14.81640625" style="22" customWidth="1"/>
    <col min="6" max="16384" width="9" style="22"/>
  </cols>
  <sheetData>
    <row r="1" spans="1:5" ht="22.65" customHeight="1" x14ac:dyDescent="0.4">
      <c r="A1" s="4" t="str">
        <f>+'Income Statement'!A1</f>
        <v>FAMILY MARKETS, INC.</v>
      </c>
    </row>
    <row r="2" spans="1:5" ht="17" customHeight="1" x14ac:dyDescent="0.3">
      <c r="A2" s="41" t="s">
        <v>64</v>
      </c>
    </row>
    <row r="3" spans="1:5" ht="30" customHeight="1" x14ac:dyDescent="0.3">
      <c r="A3" s="23" t="s">
        <v>11</v>
      </c>
      <c r="B3" s="7" t="str">
        <f>+'Income Statement'!B3</f>
        <v>Actual 12/31/2021</v>
      </c>
      <c r="C3" s="7" t="str">
        <f>+'Income Statement'!C3</f>
        <v>Actual 12/31/2022</v>
      </c>
      <c r="D3" s="7" t="str">
        <f>+'Income Statement'!D3</f>
        <v>Actual 12/31/2023</v>
      </c>
      <c r="E3" s="24" t="s">
        <v>41</v>
      </c>
    </row>
    <row r="4" spans="1:5" ht="17" customHeight="1" x14ac:dyDescent="0.3">
      <c r="A4" s="25" t="s">
        <v>12</v>
      </c>
      <c r="B4" s="9"/>
      <c r="C4" s="9"/>
      <c r="D4" s="9"/>
      <c r="E4" s="9"/>
    </row>
    <row r="5" spans="1:5" ht="17" customHeight="1" x14ac:dyDescent="0.3">
      <c r="A5" s="9" t="s">
        <v>13</v>
      </c>
      <c r="B5" s="32">
        <v>35</v>
      </c>
      <c r="C5" s="32">
        <v>37</v>
      </c>
      <c r="D5" s="32">
        <v>34</v>
      </c>
      <c r="E5" s="32">
        <v>40</v>
      </c>
    </row>
    <row r="6" spans="1:5" ht="17" customHeight="1" x14ac:dyDescent="0.3">
      <c r="A6" s="9" t="s">
        <v>14</v>
      </c>
      <c r="B6" s="29">
        <v>53</v>
      </c>
      <c r="C6" s="29">
        <v>63</v>
      </c>
      <c r="D6" s="29">
        <v>65</v>
      </c>
      <c r="E6" s="29">
        <v>71</v>
      </c>
    </row>
    <row r="7" spans="1:5" ht="17" customHeight="1" x14ac:dyDescent="0.3">
      <c r="A7" s="9" t="s">
        <v>15</v>
      </c>
      <c r="B7" s="29">
        <v>399</v>
      </c>
      <c r="C7" s="29">
        <v>411</v>
      </c>
      <c r="D7" s="29">
        <v>423</v>
      </c>
      <c r="E7" s="29">
        <v>436</v>
      </c>
    </row>
    <row r="8" spans="1:5" ht="17" customHeight="1" x14ac:dyDescent="0.3">
      <c r="A8" s="9" t="s">
        <v>16</v>
      </c>
      <c r="B8" s="29">
        <v>5</v>
      </c>
      <c r="C8" s="29">
        <v>5.5</v>
      </c>
      <c r="D8" s="29">
        <v>5.4</v>
      </c>
      <c r="E8" s="29">
        <v>6</v>
      </c>
    </row>
    <row r="9" spans="1:5" ht="17" customHeight="1" x14ac:dyDescent="0.3">
      <c r="A9" s="25" t="s">
        <v>17</v>
      </c>
      <c r="B9" s="30">
        <f>SUM(B5:B8)</f>
        <v>492</v>
      </c>
      <c r="C9" s="30">
        <f>SUM(C5:C8)</f>
        <v>516.5</v>
      </c>
      <c r="D9" s="30">
        <f>SUM(D5:D8)</f>
        <v>527.4</v>
      </c>
      <c r="E9" s="30">
        <f>SUM(E5:E8)</f>
        <v>553</v>
      </c>
    </row>
    <row r="10" spans="1:5" ht="17" customHeight="1" x14ac:dyDescent="0.3">
      <c r="A10" s="9"/>
      <c r="B10" s="31"/>
      <c r="C10" s="31"/>
      <c r="D10" s="31"/>
      <c r="E10" s="31"/>
    </row>
    <row r="11" spans="1:5" ht="17" customHeight="1" x14ac:dyDescent="0.3">
      <c r="A11" s="9" t="s">
        <v>18</v>
      </c>
      <c r="B11" s="29">
        <v>2825</v>
      </c>
      <c r="C11" s="29">
        <v>2877</v>
      </c>
      <c r="D11" s="29">
        <v>2912</v>
      </c>
      <c r="E11" s="29">
        <v>2936</v>
      </c>
    </row>
    <row r="12" spans="1:5" ht="17" customHeight="1" x14ac:dyDescent="0.3">
      <c r="A12" s="9" t="s">
        <v>19</v>
      </c>
      <c r="B12" s="29">
        <v>-1452</v>
      </c>
      <c r="C12" s="29">
        <v>-1532</v>
      </c>
      <c r="D12" s="29">
        <v>-1605</v>
      </c>
      <c r="E12" s="29">
        <v>-1681</v>
      </c>
    </row>
    <row r="13" spans="1:5" ht="17" customHeight="1" x14ac:dyDescent="0.3">
      <c r="A13" s="25" t="s">
        <v>20</v>
      </c>
      <c r="B13" s="30">
        <f>+B11+B12</f>
        <v>1373</v>
      </c>
      <c r="C13" s="30">
        <f t="shared" ref="C13:E13" si="0">+C11+C12</f>
        <v>1345</v>
      </c>
      <c r="D13" s="30">
        <f t="shared" si="0"/>
        <v>1307</v>
      </c>
      <c r="E13" s="30">
        <f t="shared" si="0"/>
        <v>1255</v>
      </c>
    </row>
    <row r="14" spans="1:5" ht="17" customHeight="1" x14ac:dyDescent="0.3">
      <c r="A14" s="9" t="s">
        <v>43</v>
      </c>
      <c r="B14" s="29">
        <v>48.5</v>
      </c>
      <c r="C14" s="29">
        <v>49</v>
      </c>
      <c r="D14" s="29">
        <v>51</v>
      </c>
      <c r="E14" s="29">
        <v>50.5</v>
      </c>
    </row>
    <row r="15" spans="1:5" ht="17" customHeight="1" x14ac:dyDescent="0.3">
      <c r="A15" s="9" t="s">
        <v>21</v>
      </c>
      <c r="B15" s="26">
        <v>8</v>
      </c>
      <c r="C15" s="26">
        <v>7</v>
      </c>
      <c r="D15" s="26">
        <v>8</v>
      </c>
      <c r="E15" s="26">
        <v>10</v>
      </c>
    </row>
    <row r="16" spans="1:5" ht="17" customHeight="1" x14ac:dyDescent="0.3">
      <c r="A16" s="25" t="s">
        <v>22</v>
      </c>
      <c r="B16" s="33">
        <f>+B9+B13+B14+B15</f>
        <v>1921.5</v>
      </c>
      <c r="C16" s="33">
        <f t="shared" ref="C16:E16" si="1">+C9+C13+C14+C15</f>
        <v>1917.5</v>
      </c>
      <c r="D16" s="33">
        <f t="shared" si="1"/>
        <v>1893.4</v>
      </c>
      <c r="E16" s="33">
        <f t="shared" si="1"/>
        <v>1868.5</v>
      </c>
    </row>
    <row r="17" spans="1:5" ht="17" customHeight="1" x14ac:dyDescent="0.3">
      <c r="A17" s="9"/>
      <c r="B17" s="9"/>
      <c r="C17" s="9"/>
      <c r="D17" s="9"/>
      <c r="E17" s="9"/>
    </row>
    <row r="18" spans="1:5" ht="17" customHeight="1" x14ac:dyDescent="0.3">
      <c r="A18" s="25" t="s">
        <v>23</v>
      </c>
      <c r="B18" s="9"/>
      <c r="C18" s="9"/>
      <c r="D18" s="9"/>
      <c r="E18" s="9"/>
    </row>
    <row r="19" spans="1:5" ht="17" customHeight="1" x14ac:dyDescent="0.3">
      <c r="A19" s="9" t="s">
        <v>24</v>
      </c>
      <c r="B19" s="26">
        <v>166</v>
      </c>
      <c r="C19" s="26">
        <v>193</v>
      </c>
      <c r="D19" s="26">
        <v>211</v>
      </c>
      <c r="E19" s="26">
        <v>224</v>
      </c>
    </row>
    <row r="20" spans="1:5" ht="17" customHeight="1" x14ac:dyDescent="0.3">
      <c r="A20" s="9" t="s">
        <v>44</v>
      </c>
      <c r="B20" s="26">
        <v>66</v>
      </c>
      <c r="C20" s="26">
        <v>77</v>
      </c>
      <c r="D20" s="26">
        <v>82</v>
      </c>
      <c r="E20" s="26">
        <v>88</v>
      </c>
    </row>
    <row r="21" spans="1:5" ht="17" customHeight="1" x14ac:dyDescent="0.3">
      <c r="A21" s="9" t="s">
        <v>45</v>
      </c>
      <c r="B21" s="26">
        <v>15</v>
      </c>
      <c r="C21" s="26">
        <v>15</v>
      </c>
      <c r="D21" s="26">
        <v>15</v>
      </c>
      <c r="E21" s="26">
        <v>15</v>
      </c>
    </row>
    <row r="22" spans="1:5" ht="17" customHeight="1" x14ac:dyDescent="0.3">
      <c r="A22" s="9" t="s">
        <v>46</v>
      </c>
      <c r="B22" s="26">
        <v>5</v>
      </c>
      <c r="C22" s="26">
        <v>5.5</v>
      </c>
      <c r="D22" s="26">
        <v>5.5</v>
      </c>
      <c r="E22" s="26">
        <v>6</v>
      </c>
    </row>
    <row r="23" spans="1:5" ht="17" customHeight="1" x14ac:dyDescent="0.3">
      <c r="A23" s="9" t="s">
        <v>25</v>
      </c>
      <c r="B23" s="26">
        <v>3</v>
      </c>
      <c r="C23" s="26">
        <v>3.6</v>
      </c>
      <c r="D23" s="26">
        <v>4.2</v>
      </c>
      <c r="E23" s="26">
        <v>4</v>
      </c>
    </row>
    <row r="24" spans="1:5" ht="17" customHeight="1" x14ac:dyDescent="0.3">
      <c r="A24" s="25" t="s">
        <v>26</v>
      </c>
      <c r="B24" s="27">
        <f>SUM(B19:B23)</f>
        <v>255</v>
      </c>
      <c r="C24" s="27">
        <f t="shared" ref="C24:E24" si="2">SUM(C19:C23)</f>
        <v>294.10000000000002</v>
      </c>
      <c r="D24" s="27">
        <f t="shared" si="2"/>
        <v>317.7</v>
      </c>
      <c r="E24" s="27">
        <f t="shared" si="2"/>
        <v>337</v>
      </c>
    </row>
    <row r="25" spans="1:5" ht="17" customHeight="1" x14ac:dyDescent="0.3">
      <c r="A25" s="9"/>
      <c r="B25" s="9"/>
      <c r="C25" s="9"/>
      <c r="D25" s="9"/>
      <c r="E25" s="9"/>
    </row>
    <row r="26" spans="1:5" ht="17" customHeight="1" x14ac:dyDescent="0.3">
      <c r="A26" s="9" t="s">
        <v>27</v>
      </c>
      <c r="B26" s="26">
        <v>875</v>
      </c>
      <c r="C26" s="26">
        <v>855</v>
      </c>
      <c r="D26" s="26">
        <v>800</v>
      </c>
      <c r="E26" s="26">
        <v>775</v>
      </c>
    </row>
    <row r="27" spans="1:5" ht="17" customHeight="1" x14ac:dyDescent="0.3">
      <c r="A27" s="9" t="s">
        <v>47</v>
      </c>
      <c r="B27" s="26">
        <f>+B14-B22</f>
        <v>43.5</v>
      </c>
      <c r="C27" s="26">
        <f t="shared" ref="C27:E27" si="3">+C14-C22</f>
        <v>43.5</v>
      </c>
      <c r="D27" s="26">
        <f t="shared" si="3"/>
        <v>45.5</v>
      </c>
      <c r="E27" s="26">
        <f t="shared" si="3"/>
        <v>44.5</v>
      </c>
    </row>
    <row r="28" spans="1:5" ht="17" customHeight="1" x14ac:dyDescent="0.3">
      <c r="A28" s="9" t="s">
        <v>28</v>
      </c>
      <c r="B28" s="26">
        <v>12</v>
      </c>
      <c r="C28" s="26">
        <v>13.4</v>
      </c>
      <c r="D28" s="26">
        <v>14.7</v>
      </c>
      <c r="E28" s="26">
        <v>15</v>
      </c>
    </row>
    <row r="29" spans="1:5" ht="17" customHeight="1" x14ac:dyDescent="0.3">
      <c r="A29" s="25" t="s">
        <v>29</v>
      </c>
      <c r="B29" s="27">
        <f>SUM(B24:B28)</f>
        <v>1185.5</v>
      </c>
      <c r="C29" s="27">
        <f t="shared" ref="C29:E29" si="4">SUM(C24:C28)</f>
        <v>1206</v>
      </c>
      <c r="D29" s="27">
        <f t="shared" si="4"/>
        <v>1177.9000000000001</v>
      </c>
      <c r="E29" s="27">
        <f t="shared" si="4"/>
        <v>1171.5</v>
      </c>
    </row>
    <row r="30" spans="1:5" ht="17" customHeight="1" x14ac:dyDescent="0.3">
      <c r="A30" s="9"/>
      <c r="B30" s="9"/>
      <c r="C30" s="9"/>
      <c r="D30" s="9"/>
      <c r="E30" s="9"/>
    </row>
    <row r="31" spans="1:5" ht="17" customHeight="1" x14ac:dyDescent="0.3">
      <c r="A31" s="9" t="s">
        <v>48</v>
      </c>
      <c r="B31" s="26">
        <v>25</v>
      </c>
      <c r="C31" s="26">
        <v>25</v>
      </c>
      <c r="D31" s="26">
        <v>25</v>
      </c>
      <c r="E31" s="26">
        <v>25</v>
      </c>
    </row>
    <row r="32" spans="1:5" ht="17" customHeight="1" x14ac:dyDescent="0.3">
      <c r="A32" s="9" t="s">
        <v>30</v>
      </c>
      <c r="B32" s="26">
        <f>+B16-B29-B31</f>
        <v>711</v>
      </c>
      <c r="C32" s="26">
        <f t="shared" ref="C32:E32" si="5">+C16-C29-C31</f>
        <v>686.5</v>
      </c>
      <c r="D32" s="26">
        <f t="shared" si="5"/>
        <v>690.5</v>
      </c>
      <c r="E32" s="26">
        <f t="shared" si="5"/>
        <v>672</v>
      </c>
    </row>
    <row r="33" spans="1:5" ht="17" customHeight="1" x14ac:dyDescent="0.3">
      <c r="A33" s="25" t="s">
        <v>49</v>
      </c>
      <c r="B33" s="34">
        <f>+B31+B32</f>
        <v>736</v>
      </c>
      <c r="C33" s="34">
        <f t="shared" ref="C33:E33" si="6">+C31+C32</f>
        <v>711.5</v>
      </c>
      <c r="D33" s="34">
        <f t="shared" si="6"/>
        <v>715.5</v>
      </c>
      <c r="E33" s="34">
        <f t="shared" si="6"/>
        <v>697</v>
      </c>
    </row>
    <row r="34" spans="1:5" ht="17" customHeight="1" x14ac:dyDescent="0.3">
      <c r="A34" s="9"/>
      <c r="B34" s="9"/>
      <c r="C34" s="9"/>
      <c r="D34" s="9"/>
      <c r="E34" s="9"/>
    </row>
    <row r="35" spans="1:5" ht="17" customHeight="1" x14ac:dyDescent="0.3">
      <c r="A35" s="25" t="s">
        <v>31</v>
      </c>
      <c r="B35" s="35">
        <f>+B33+B29</f>
        <v>1921.5</v>
      </c>
      <c r="C35" s="35">
        <f t="shared" ref="C35:E35" si="7">+C33+C29</f>
        <v>1917.5</v>
      </c>
      <c r="D35" s="35">
        <f t="shared" si="7"/>
        <v>1893.4</v>
      </c>
      <c r="E35" s="35">
        <f t="shared" si="7"/>
        <v>1868.5</v>
      </c>
    </row>
    <row r="36" spans="1:5" ht="17" customHeight="1" x14ac:dyDescent="0.3">
      <c r="A36" s="9"/>
      <c r="B36" s="9"/>
      <c r="C36" s="9"/>
      <c r="D36" s="9"/>
      <c r="E36" s="9"/>
    </row>
  </sheetData>
  <phoneticPr fontId="0" type="noConversion"/>
  <pageMargins left="0.2" right="0.2" top="0.5" bottom="0.5" header="0.5" footer="0.5"/>
  <pageSetup scale="90" fitToWidth="0" fitToHeight="0" orientation="landscape" r:id="rId1"/>
  <headerFooter alignWithMargins="0">
    <oddFooter>&amp;LPage &amp;P&amp;CFIN 4596&amp;RIPO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EBE2A-ECA6-4CC2-AA61-212F3E1F953B}">
  <dimension ref="A1:XFD35"/>
  <sheetViews>
    <sheetView showGridLines="0" tabSelected="1" topLeftCell="A8" zoomScale="79" workbookViewId="0">
      <selection activeCell="D13" sqref="D13"/>
    </sheetView>
  </sheetViews>
  <sheetFormatPr defaultColWidth="15" defaultRowHeight="15.5" x14ac:dyDescent="0.35"/>
  <cols>
    <col min="1" max="16384" width="15" style="6"/>
  </cols>
  <sheetData>
    <row r="1" spans="1:4" ht="16.149999999999999" customHeight="1" x14ac:dyDescent="0.35">
      <c r="A1" s="5" t="str">
        <f>+'Income Statement'!A1</f>
        <v>FAMILY MARKETS, INC.</v>
      </c>
    </row>
    <row r="2" spans="1:4" x14ac:dyDescent="0.35">
      <c r="A2" s="5" t="s">
        <v>39</v>
      </c>
    </row>
    <row r="3" spans="1:4" x14ac:dyDescent="0.35">
      <c r="A3" s="42" t="s">
        <v>65</v>
      </c>
    </row>
    <row r="4" spans="1:4" x14ac:dyDescent="0.35">
      <c r="A4" s="42"/>
    </row>
    <row r="5" spans="1:4" x14ac:dyDescent="0.35">
      <c r="A5" s="40" t="s">
        <v>60</v>
      </c>
    </row>
    <row r="6" spans="1:4" x14ac:dyDescent="0.35">
      <c r="C6" s="36" t="s">
        <v>51</v>
      </c>
      <c r="D6" s="36" t="s">
        <v>52</v>
      </c>
    </row>
    <row r="8" spans="1:4" x14ac:dyDescent="0.35">
      <c r="A8" s="6" t="s">
        <v>50</v>
      </c>
      <c r="C8" s="37">
        <f>'Income Statement'!D15+'Income Statement'!D11</f>
        <v>431.58899999999994</v>
      </c>
      <c r="D8" s="37">
        <f>'Income Statement'!E15+'Income Statement'!E11</f>
        <v>458.85000000000036</v>
      </c>
    </row>
    <row r="9" spans="1:4" x14ac:dyDescent="0.35">
      <c r="A9" s="6" t="s">
        <v>53</v>
      </c>
      <c r="C9" s="38">
        <f>'Income Statement'!D12</f>
        <v>5</v>
      </c>
      <c r="D9" s="38">
        <f>'Income Statement'!E12</f>
        <v>8</v>
      </c>
    </row>
    <row r="10" spans="1:4" x14ac:dyDescent="0.35">
      <c r="A10" s="6" t="s">
        <v>54</v>
      </c>
      <c r="C10" s="38">
        <f>C8+C9</f>
        <v>436.58899999999994</v>
      </c>
      <c r="D10" s="38">
        <f>D8+D9</f>
        <v>466.85000000000036</v>
      </c>
    </row>
    <row r="12" spans="1:4" x14ac:dyDescent="0.35">
      <c r="A12" s="6" t="s">
        <v>55</v>
      </c>
      <c r="C12" s="38">
        <v>6</v>
      </c>
      <c r="D12" s="38">
        <v>5.5</v>
      </c>
    </row>
    <row r="14" spans="1:4" x14ac:dyDescent="0.35">
      <c r="A14" s="6" t="s">
        <v>56</v>
      </c>
      <c r="C14" s="37">
        <f>C10*C12</f>
        <v>2619.5339999999997</v>
      </c>
      <c r="D14" s="37">
        <f>D10*D12</f>
        <v>2567.675000000002</v>
      </c>
    </row>
    <row r="15" spans="1:4" x14ac:dyDescent="0.35">
      <c r="A15" s="6" t="s">
        <v>57</v>
      </c>
      <c r="C15" s="38">
        <f>'Balance Sheet'!E5</f>
        <v>40</v>
      </c>
      <c r="D15" s="38">
        <v>40</v>
      </c>
    </row>
    <row r="16" spans="1:4" x14ac:dyDescent="0.35">
      <c r="A16" s="6" t="s">
        <v>58</v>
      </c>
      <c r="C16" s="38">
        <f>-'Balance Sheet'!E26-'Balance Sheet'!E21</f>
        <v>-790</v>
      </c>
      <c r="D16" s="38">
        <v>-790</v>
      </c>
    </row>
    <row r="18" spans="1:4 16384:16384" x14ac:dyDescent="0.35">
      <c r="A18" s="6" t="s">
        <v>59</v>
      </c>
      <c r="C18" s="39">
        <f>C14+C15+C16</f>
        <v>1869.5339999999997</v>
      </c>
      <c r="D18" s="39">
        <f>D14+D15+D16</f>
        <v>1817.675000000002</v>
      </c>
    </row>
    <row r="19" spans="1:4 16384:16384" x14ac:dyDescent="0.35">
      <c r="A19" s="6" t="s">
        <v>66</v>
      </c>
      <c r="C19" s="43">
        <v>50.5</v>
      </c>
      <c r="D19" s="43">
        <v>50.5</v>
      </c>
      <c r="XFD19" s="6" t="s">
        <v>72</v>
      </c>
    </row>
    <row r="20" spans="1:4 16384:16384" x14ac:dyDescent="0.35">
      <c r="A20" s="6" t="s">
        <v>67</v>
      </c>
      <c r="C20" s="47">
        <f>C18/C19</f>
        <v>37.020475247524743</v>
      </c>
      <c r="D20" s="47">
        <f>D18/D19</f>
        <v>35.993564356435684</v>
      </c>
    </row>
    <row r="22" spans="1:4 16384:16384" x14ac:dyDescent="0.35">
      <c r="A22" s="40" t="s">
        <v>61</v>
      </c>
    </row>
    <row r="23" spans="1:4 16384:16384" x14ac:dyDescent="0.35">
      <c r="C23" s="36" t="s">
        <v>51</v>
      </c>
      <c r="D23" s="36" t="s">
        <v>52</v>
      </c>
    </row>
    <row r="25" spans="1:4 16384:16384" x14ac:dyDescent="0.35">
      <c r="A25" s="6" t="s">
        <v>62</v>
      </c>
      <c r="C25" s="37">
        <f>'Income Statement'!D5</f>
        <v>6023</v>
      </c>
      <c r="D25" s="37">
        <f>'Income Statement'!E5</f>
        <v>6425</v>
      </c>
    </row>
    <row r="27" spans="1:4 16384:16384" x14ac:dyDescent="0.35">
      <c r="A27" s="6" t="s">
        <v>55</v>
      </c>
      <c r="C27" s="44">
        <v>0.5</v>
      </c>
      <c r="D27" s="44">
        <v>0.45</v>
      </c>
    </row>
    <row r="29" spans="1:4 16384:16384" x14ac:dyDescent="0.35">
      <c r="A29" s="6" t="s">
        <v>56</v>
      </c>
      <c r="C29" s="37">
        <f>C25*C27</f>
        <v>3011.5</v>
      </c>
      <c r="D29" s="37">
        <f>D25*D27</f>
        <v>2891.25</v>
      </c>
    </row>
    <row r="30" spans="1:4 16384:16384" x14ac:dyDescent="0.35">
      <c r="A30" s="6" t="s">
        <v>57</v>
      </c>
      <c r="C30" s="38">
        <f>'Balance Sheet'!E5</f>
        <v>40</v>
      </c>
      <c r="D30" s="38">
        <v>40</v>
      </c>
    </row>
    <row r="31" spans="1:4 16384:16384" x14ac:dyDescent="0.35">
      <c r="A31" s="6" t="s">
        <v>58</v>
      </c>
      <c r="C31" s="38">
        <f>-C16</f>
        <v>790</v>
      </c>
      <c r="D31" s="38">
        <v>790</v>
      </c>
    </row>
    <row r="33" spans="1:4" x14ac:dyDescent="0.35">
      <c r="A33" s="6" t="s">
        <v>59</v>
      </c>
      <c r="C33" s="39">
        <f>C29+C30-C31</f>
        <v>2261.5</v>
      </c>
      <c r="D33" s="39">
        <f>D29+D30-D31</f>
        <v>2141.25</v>
      </c>
    </row>
    <row r="34" spans="1:4" x14ac:dyDescent="0.35">
      <c r="A34" s="6" t="s">
        <v>66</v>
      </c>
      <c r="C34" s="43">
        <f>C19</f>
        <v>50.5</v>
      </c>
      <c r="D34" s="43">
        <f>D19</f>
        <v>50.5</v>
      </c>
    </row>
    <row r="35" spans="1:4" x14ac:dyDescent="0.35">
      <c r="A35" s="6" t="s">
        <v>67</v>
      </c>
      <c r="C35" s="47">
        <f>C33/C34</f>
        <v>44.78217821782178</v>
      </c>
      <c r="D35" s="47">
        <f>D33/D34</f>
        <v>42.400990099009903</v>
      </c>
    </row>
  </sheetData>
  <pageMargins left="0.7" right="0.7" top="0.75" bottom="0.75" header="0.3" footer="0.3"/>
  <pageSetup scale="95" orientation="landscape" r:id="rId1"/>
  <headerFooter>
    <oddFooter>&amp;LPage &amp;P&amp;CFIN 4596&amp;RIPO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Situation</vt:lpstr>
      <vt:lpstr>Income Statement</vt:lpstr>
      <vt:lpstr>Balance Sheet</vt:lpstr>
      <vt:lpstr>Valuation</vt:lpstr>
      <vt:lpstr>'Balance Sheet'!Print_Titles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 4596 FALL 2022</dc:title>
  <dc:creator/>
  <cp:keywords>CLASSWORK</cp:keywords>
  <cp:lastModifiedBy/>
  <dcterms:created xsi:type="dcterms:W3CDTF">2004-07-20T21:40:42Z</dcterms:created>
  <dcterms:modified xsi:type="dcterms:W3CDTF">2025-01-15T04:43:05Z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