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u00197_temple_edu/Documents/Desktop/Generative AI/Start using Claude Code/claude_portfolio/Excel Project/"/>
    </mc:Choice>
  </mc:AlternateContent>
  <xr:revisionPtr revIDLastSave="181" documentId="8_{40F706BC-5C6F-4B7C-841C-F595805329F1}" xr6:coauthVersionLast="47" xr6:coauthVersionMax="47" xr10:uidLastSave="{B17A25F8-9B9B-4DB0-ABBA-1C77401A1A7A}"/>
  <bookViews>
    <workbookView xWindow="-110" yWindow="-110" windowWidth="19420" windowHeight="11500" activeTab="2" xr2:uid="{00000000-000D-0000-FFFF-FFFF00000000}"/>
  </bookViews>
  <sheets>
    <sheet name="Projections" sheetId="5" r:id="rId1"/>
    <sheet name="WACC" sheetId="1" r:id="rId2"/>
    <sheet name="TN" sheetId="2" r:id="rId3"/>
  </sheets>
  <definedNames>
    <definedName name="_xlnm.Print_Area" localSheetId="0">Projections!$A$1:$G$16</definedName>
    <definedName name="_xlnm.Print_Area" localSheetId="2">TN!$A$1:$I$24</definedName>
    <definedName name="_xlnm.Print_Area" localSheetId="1">WACC!$A$1:$E$20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" l="1"/>
  <c r="C23" i="2"/>
  <c r="C22" i="2"/>
  <c r="G16" i="2"/>
  <c r="F16" i="2"/>
  <c r="E16" i="2"/>
  <c r="D16" i="2"/>
  <c r="C16" i="2"/>
  <c r="B14" i="2"/>
  <c r="H13" i="2" s="1"/>
  <c r="H12" i="2"/>
  <c r="G12" i="2"/>
  <c r="F12" i="2"/>
  <c r="E12" i="2"/>
  <c r="D12" i="2"/>
  <c r="C12" i="2"/>
  <c r="G11" i="2"/>
  <c r="F11" i="2"/>
  <c r="E11" i="2"/>
  <c r="D11" i="2"/>
  <c r="C11" i="2"/>
  <c r="G9" i="2"/>
  <c r="F9" i="2"/>
  <c r="E9" i="2"/>
  <c r="D9" i="2"/>
  <c r="C9" i="2"/>
  <c r="G7" i="2"/>
  <c r="F7" i="2"/>
  <c r="E7" i="2"/>
  <c r="D7" i="2"/>
  <c r="C7" i="2"/>
  <c r="D20" i="1"/>
  <c r="D19" i="1"/>
  <c r="D13" i="1"/>
  <c r="G16" i="5"/>
  <c r="F16" i="5"/>
  <c r="E16" i="5"/>
  <c r="D16" i="5"/>
  <c r="C16" i="5"/>
  <c r="G15" i="5"/>
  <c r="F15" i="5"/>
  <c r="E15" i="5"/>
  <c r="D15" i="5"/>
  <c r="C15" i="5"/>
  <c r="G12" i="5"/>
  <c r="F12" i="5"/>
  <c r="E12" i="5"/>
  <c r="D12" i="5"/>
  <c r="C12" i="5"/>
  <c r="G11" i="5"/>
  <c r="F11" i="5"/>
  <c r="E11" i="5"/>
  <c r="D11" i="5"/>
  <c r="C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Prabin Pandey</author>
  </authors>
  <commentList>
    <comment ref="B14" authorId="0" shapeId="0" xr:uid="{D32FCD5E-D631-442E-BCFD-B62BBA9CC560}">
      <text>
        <r>
          <rPr>
            <b/>
            <sz val="9"/>
            <color indexed="81"/>
            <rFont val="Tahoma"/>
            <family val="2"/>
          </rPr>
          <t>Prabin Pandey:</t>
        </r>
        <r>
          <rPr>
            <sz val="9"/>
            <color indexed="81"/>
            <rFont val="Tahoma"/>
            <family val="2"/>
          </rPr>
          <t xml:space="preserve">
WACC + 0.5% risk premium</t>
        </r>
      </text>
    </comment>
  </commentList>
</comments>
</file>

<file path=xl/sharedStrings.xml><?xml version="1.0" encoding="utf-8"?>
<sst xmlns="http://schemas.openxmlformats.org/spreadsheetml/2006/main" count="62" uniqueCount="53">
  <si>
    <t>WACC Calculation</t>
  </si>
  <si>
    <t>WACC</t>
  </si>
  <si>
    <t>Trade Name Valuation</t>
  </si>
  <si>
    <t>Year 1</t>
  </si>
  <si>
    <t>Year 2</t>
  </si>
  <si>
    <t>Year 3</t>
  </si>
  <si>
    <t>Year 4</t>
  </si>
  <si>
    <t>Year 5</t>
  </si>
  <si>
    <t>Sales</t>
  </si>
  <si>
    <t>Royalty Rate</t>
  </si>
  <si>
    <t>Royalty Savings</t>
  </si>
  <si>
    <t>Taxes</t>
  </si>
  <si>
    <t>INTANGIBLE ASSET MODELING EXAMPLE</t>
  </si>
  <si>
    <t>Gross Profit</t>
  </si>
  <si>
    <t>SG&amp;A Expenses</t>
  </si>
  <si>
    <t>EBIT</t>
  </si>
  <si>
    <t>FIN 5637</t>
  </si>
  <si>
    <t>Trade Name Valuation - Relief from Royalty Method</t>
  </si>
  <si>
    <t>Perpetuity</t>
  </si>
  <si>
    <t xml:space="preserve">INTANGIBLE ASSET MODELING </t>
  </si>
  <si>
    <t>($ in thousands)</t>
  </si>
  <si>
    <t>Cost of Goods Sold</t>
  </si>
  <si>
    <t xml:space="preserve">   Gross Profit Margin</t>
  </si>
  <si>
    <t xml:space="preserve">   EBIT Margin</t>
  </si>
  <si>
    <t>Cost of Equity Inputs</t>
  </si>
  <si>
    <t xml:space="preserve">   Risk-Free Rate</t>
  </si>
  <si>
    <t xml:space="preserve">   Beta (Levered)</t>
  </si>
  <si>
    <t xml:space="preserve">   Equity Risk Premium</t>
  </si>
  <si>
    <t>Cost of Equity (CAPM)</t>
  </si>
  <si>
    <t>After-Tax Cost of Debt</t>
  </si>
  <si>
    <t>Capital Structure</t>
  </si>
  <si>
    <t xml:space="preserve">   Debt Weight</t>
  </si>
  <si>
    <t xml:space="preserve">   Equity Weight</t>
  </si>
  <si>
    <t>Relief from Royalty Method</t>
  </si>
  <si>
    <t>Long-term</t>
  </si>
  <si>
    <t>After-Tax Royalty Savings</t>
  </si>
  <si>
    <t>Growth Rate</t>
  </si>
  <si>
    <t>Terminal Value</t>
  </si>
  <si>
    <t>Assumption</t>
  </si>
  <si>
    <t>Discount Rate</t>
  </si>
  <si>
    <t>(1) Discount rate = WACC + 0.5% intangible asset risk premium</t>
  </si>
  <si>
    <t>Valuation Summary</t>
  </si>
  <si>
    <t>Present Value (NPV)</t>
  </si>
  <si>
    <t>NPV of discounted cash flows</t>
  </si>
  <si>
    <t>Tax Amortization Benefit (TAB)</t>
  </si>
  <si>
    <t>Fair Value of Trade Name</t>
  </si>
  <si>
    <t>NPV x TAB</t>
  </si>
  <si>
    <t>Cash Flow to Discount</t>
  </si>
  <si>
    <t>TAB multiplier (15-yr amortization)</t>
  </si>
  <si>
    <t>TAB = 1/[1 - TR × ((1-(1+DR)^-n)/DR)/n]  |  TR=25%, DR=9.35%, n=15 years</t>
  </si>
  <si>
    <t>Rf + Beta * ERP</t>
  </si>
  <si>
    <t>1 - Debt Weight</t>
  </si>
  <si>
    <t>Wd*Kd + We*Ke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</si>
</sst>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_);_(* \(#,##0.0\);_(* &quot;-&quot;??_);_(@_)"/>
    <numFmt numFmtId="170" formatCode="0.0000"/>
    <numFmt numFmtId="171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singleAccounting"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FF"/>
      <name val="Calibri"/>
      <family val="2"/>
      <scheme val="minor"/>
    </font>
    <font>
      <b/>
      <i/>
      <sz val="10"/>
      <color rgb="FF59595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43" fontId="4" fillId="0" borderId="4" xfId="1" applyFont="1" applyBorder="1"/>
    <xf numFmtId="43" fontId="4" fillId="0" borderId="0" xfId="1" applyFont="1"/>
    <xf numFmtId="43" fontId="6" fillId="0" borderId="4" xfId="1" applyFont="1" applyBorder="1"/>
    <xf numFmtId="43" fontId="6" fillId="0" borderId="0" xfId="1" applyFont="1"/>
    <xf numFmtId="165" fontId="6" fillId="0" borderId="0" xfId="1" applyNumberFormat="1" applyFont="1"/>
    <xf numFmtId="43" fontId="7" fillId="0" borderId="0" xfId="1" applyFont="1"/>
    <xf numFmtId="10" fontId="6" fillId="0" borderId="0" xfId="3" applyNumberFormat="1" applyFont="1"/>
    <xf numFmtId="164" fontId="8" fillId="0" borderId="0" xfId="1" applyNumberFormat="1" applyFont="1"/>
    <xf numFmtId="43" fontId="4" fillId="0" borderId="0" xfId="1" applyFont="1" applyBorder="1"/>
    <xf numFmtId="164" fontId="9" fillId="0" borderId="0" xfId="3" applyNumberFormat="1" applyFont="1" applyBorder="1"/>
    <xf numFmtId="43" fontId="3" fillId="0" borderId="0" xfId="1" applyFont="1" applyAlignment="1">
      <alignment horizontal="left"/>
    </xf>
    <xf numFmtId="43" fontId="2" fillId="4" borderId="5" xfId="1" applyFont="1" applyFill="1" applyBorder="1"/>
    <xf numFmtId="43" fontId="4" fillId="4" borderId="6" xfId="1" applyFont="1" applyFill="1" applyBorder="1"/>
    <xf numFmtId="43" fontId="3" fillId="0" borderId="12" xfId="1" applyFont="1" applyBorder="1"/>
    <xf numFmtId="43" fontId="3" fillId="0" borderId="0" xfId="1" applyFont="1" applyBorder="1"/>
    <xf numFmtId="43" fontId="12" fillId="0" borderId="0" xfId="1" applyFont="1"/>
    <xf numFmtId="43" fontId="13" fillId="5" borderId="0" xfId="1" applyFont="1" applyFill="1" applyAlignment="1">
      <alignment horizontal="center"/>
    </xf>
    <xf numFmtId="3" fontId="14" fillId="0" borderId="0" xfId="2" applyNumberFormat="1" applyFont="1"/>
    <xf numFmtId="3" fontId="14" fillId="0" borderId="4" xfId="1" applyNumberFormat="1" applyFont="1" applyBorder="1"/>
    <xf numFmtId="43" fontId="2" fillId="0" borderId="0" xfId="1" applyFont="1"/>
    <xf numFmtId="3" fontId="2" fillId="0" borderId="0" xfId="1" applyNumberFormat="1" applyFont="1"/>
    <xf numFmtId="43" fontId="15" fillId="0" borderId="0" xfId="1" applyFont="1"/>
    <xf numFmtId="164" fontId="15" fillId="0" borderId="0" xfId="3" applyNumberFormat="1" applyFont="1"/>
    <xf numFmtId="3" fontId="2" fillId="0" borderId="8" xfId="2" applyNumberFormat="1" applyFont="1" applyBorder="1"/>
    <xf numFmtId="43" fontId="16" fillId="5" borderId="0" xfId="1" applyFont="1" applyFill="1"/>
    <xf numFmtId="43" fontId="6" fillId="5" borderId="0" xfId="1" applyFont="1" applyFill="1"/>
    <xf numFmtId="43" fontId="10" fillId="0" borderId="0" xfId="1" applyFont="1"/>
    <xf numFmtId="10" fontId="14" fillId="0" borderId="0" xfId="3" applyNumberFormat="1" applyFont="1"/>
    <xf numFmtId="10" fontId="2" fillId="6" borderId="0" xfId="3" applyNumberFormat="1" applyFont="1" applyFill="1"/>
    <xf numFmtId="43" fontId="17" fillId="0" borderId="0" xfId="1" applyFont="1"/>
    <xf numFmtId="164" fontId="14" fillId="0" borderId="0" xfId="3" applyNumberFormat="1" applyFont="1"/>
    <xf numFmtId="164" fontId="4" fillId="0" borderId="0" xfId="3" applyNumberFormat="1" applyFont="1"/>
    <xf numFmtId="43" fontId="16" fillId="5" borderId="1" xfId="1" applyFont="1" applyFill="1" applyBorder="1"/>
    <xf numFmtId="43" fontId="3" fillId="5" borderId="2" xfId="1" applyFont="1" applyFill="1" applyBorder="1"/>
    <xf numFmtId="2" fontId="14" fillId="0" borderId="0" xfId="1" applyNumberFormat="1" applyFont="1"/>
    <xf numFmtId="10" fontId="3" fillId="6" borderId="3" xfId="3" applyNumberFormat="1" applyFont="1" applyFill="1" applyBorder="1"/>
    <xf numFmtId="43" fontId="18" fillId="0" borderId="0" xfId="1" applyFont="1"/>
    <xf numFmtId="43" fontId="16" fillId="5" borderId="0" xfId="1" applyFont="1" applyFill="1" applyAlignment="1">
      <alignment horizontal="center"/>
    </xf>
    <xf numFmtId="43" fontId="2" fillId="5" borderId="0" xfId="1" applyFont="1" applyFill="1" applyAlignment="1">
      <alignment horizontal="center"/>
    </xf>
    <xf numFmtId="43" fontId="4" fillId="5" borderId="0" xfId="1" applyFont="1" applyFill="1"/>
    <xf numFmtId="43" fontId="19" fillId="7" borderId="0" xfId="1" applyFont="1" applyFill="1" applyAlignment="1">
      <alignment horizontal="center"/>
    </xf>
    <xf numFmtId="43" fontId="19" fillId="8" borderId="0" xfId="1" applyFont="1" applyFill="1" applyAlignment="1">
      <alignment horizontal="center"/>
    </xf>
    <xf numFmtId="3" fontId="4" fillId="9" borderId="0" xfId="2" applyNumberFormat="1" applyFont="1" applyFill="1"/>
    <xf numFmtId="4" fontId="4" fillId="9" borderId="0" xfId="1" applyNumberFormat="1" applyFont="1" applyFill="1"/>
    <xf numFmtId="4" fontId="5" fillId="3" borderId="4" xfId="3" applyNumberFormat="1" applyFont="1" applyFill="1" applyBorder="1"/>
    <xf numFmtId="43" fontId="11" fillId="0" borderId="9" xfId="1" applyFont="1" applyBorder="1"/>
    <xf numFmtId="4" fontId="2" fillId="9" borderId="0" xfId="2" applyNumberFormat="1" applyFont="1" applyFill="1"/>
    <xf numFmtId="4" fontId="4" fillId="8" borderId="0" xfId="2" applyNumberFormat="1" applyFont="1" applyFill="1"/>
    <xf numFmtId="43" fontId="11" fillId="0" borderId="10" xfId="1" applyFont="1" applyBorder="1"/>
    <xf numFmtId="4" fontId="2" fillId="8" borderId="0" xfId="1" applyNumberFormat="1" applyFont="1" applyFill="1" applyBorder="1"/>
    <xf numFmtId="10" fontId="8" fillId="6" borderId="0" xfId="1" applyNumberFormat="1" applyFont="1" applyFill="1"/>
    <xf numFmtId="164" fontId="22" fillId="0" borderId="11" xfId="3" applyNumberFormat="1" applyFont="1" applyBorder="1"/>
    <xf numFmtId="4" fontId="4" fillId="6" borderId="0" xfId="2" applyNumberFormat="1" applyFont="1" applyFill="1"/>
    <xf numFmtId="43" fontId="23" fillId="0" borderId="0" xfId="1" quotePrefix="1" applyFont="1"/>
    <xf numFmtId="43" fontId="2" fillId="5" borderId="2" xfId="1" applyFont="1" applyFill="1" applyBorder="1"/>
    <xf numFmtId="43" fontId="4" fillId="5" borderId="5" xfId="1" applyFont="1" applyFill="1" applyBorder="1"/>
    <xf numFmtId="4" fontId="2" fillId="6" borderId="7" xfId="2" applyNumberFormat="1" applyFont="1" applyFill="1" applyBorder="1"/>
    <xf numFmtId="170" fontId="4" fillId="6" borderId="0" xfId="1" applyNumberFormat="1" applyFont="1" applyFill="1"/>
    <xf numFmtId="43" fontId="16" fillId="10" borderId="1" xfId="1" applyFont="1" applyFill="1" applyBorder="1"/>
    <xf numFmtId="43" fontId="4" fillId="10" borderId="2" xfId="1" applyFont="1" applyFill="1" applyBorder="1"/>
    <xf numFmtId="171" fontId="3" fillId="11" borderId="3" xfId="1" applyNumberFormat="1" applyFont="1" applyFill="1" applyBorder="1"/>
    <xf numFmtId="0" fontId="0" fillId="5" borderId="6" xfId="0" applyFill="1" applyBorder="1"/>
    <xf numFmtId="0" fontId="17" fillId="2" borderId="0" xfId="0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B11A05-B228-4A3B-BBE0-5D563176202E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A2" sqref="A2"/>
    </sheetView>
  </sheetViews>
  <sheetFormatPr defaultColWidth="12.6328125" defaultRowHeight="18.5" x14ac:dyDescent="0.45"/>
  <cols>
    <col min="1" max="1" width="32.7265625" style="4" customWidth="1"/>
    <col min="2" max="2" width="12.6328125" style="4"/>
    <col min="3" max="7" width="15.453125" style="4" customWidth="1"/>
    <col min="8" max="16384" width="12.6328125" style="4"/>
  </cols>
  <sheetData>
    <row r="1" spans="1:7" x14ac:dyDescent="0.45">
      <c r="A1" s="15"/>
    </row>
    <row r="2" spans="1:7" x14ac:dyDescent="0.45">
      <c r="A2" s="14" t="s">
        <v>19</v>
      </c>
      <c r="B2" s="3"/>
      <c r="C2" s="3"/>
    </row>
    <row r="4" spans="1:7" x14ac:dyDescent="0.45">
      <c r="A4" s="11" t="s">
        <v>17</v>
      </c>
      <c r="B4" s="11"/>
    </row>
    <row r="6" spans="1:7" ht="20.5" x14ac:dyDescent="0.65">
      <c r="A6" s="16" t="s">
        <v>20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</row>
    <row r="7" spans="1:7" x14ac:dyDescent="0.45">
      <c r="A7" s="2" t="s">
        <v>8</v>
      </c>
      <c r="C7" s="18">
        <v>125000</v>
      </c>
      <c r="D7" s="18">
        <v>132000</v>
      </c>
      <c r="E7" s="18">
        <v>140000</v>
      </c>
      <c r="F7" s="18">
        <v>150000</v>
      </c>
      <c r="G7" s="18">
        <v>165000</v>
      </c>
    </row>
    <row r="9" spans="1:7" x14ac:dyDescent="0.45">
      <c r="A9" s="2" t="s">
        <v>21</v>
      </c>
      <c r="C9" s="19">
        <v>81250</v>
      </c>
      <c r="D9" s="19">
        <v>85800</v>
      </c>
      <c r="E9" s="19">
        <v>91000</v>
      </c>
      <c r="F9" s="19">
        <v>97500</v>
      </c>
      <c r="G9" s="19">
        <v>107250</v>
      </c>
    </row>
    <row r="11" spans="1:7" x14ac:dyDescent="0.45">
      <c r="A11" s="20" t="s">
        <v>13</v>
      </c>
      <c r="C11" s="21">
        <f>C7-C9</f>
        <v>43750</v>
      </c>
      <c r="D11" s="21">
        <f>D7-D9</f>
        <v>46200</v>
      </c>
      <c r="E11" s="21">
        <f>E7-E9</f>
        <v>49000</v>
      </c>
      <c r="F11" s="21">
        <f>F7-F9</f>
        <v>52500</v>
      </c>
      <c r="G11" s="21">
        <f>G7-G9</f>
        <v>57750</v>
      </c>
    </row>
    <row r="12" spans="1:7" x14ac:dyDescent="0.45">
      <c r="A12" s="22" t="s">
        <v>22</v>
      </c>
      <c r="B12" s="6"/>
      <c r="C12" s="23">
        <f>IFERROR(C11/C7,"-")</f>
        <v>0.35</v>
      </c>
      <c r="D12" s="23">
        <f>IFERROR(D11/D7,"-")</f>
        <v>0.35</v>
      </c>
      <c r="E12" s="23">
        <f>IFERROR(E11/E7,"-")</f>
        <v>0.35</v>
      </c>
      <c r="F12" s="23">
        <f>IFERROR(F11/F7,"-")</f>
        <v>0.35</v>
      </c>
      <c r="G12" s="23">
        <f>IFERROR(G11/G7,"-")</f>
        <v>0.35</v>
      </c>
    </row>
    <row r="13" spans="1:7" x14ac:dyDescent="0.45">
      <c r="A13" s="2" t="s">
        <v>14</v>
      </c>
      <c r="C13" s="19">
        <v>13750</v>
      </c>
      <c r="D13" s="19">
        <v>14520</v>
      </c>
      <c r="E13" s="19">
        <v>15400</v>
      </c>
      <c r="F13" s="19">
        <v>16500</v>
      </c>
      <c r="G13" s="19">
        <v>18150</v>
      </c>
    </row>
    <row r="14" spans="1:7" x14ac:dyDescent="0.45">
      <c r="D14" s="5"/>
    </row>
    <row r="15" spans="1:7" ht="19" thickBot="1" x14ac:dyDescent="0.5">
      <c r="A15" s="20" t="s">
        <v>15</v>
      </c>
      <c r="C15" s="24">
        <f>C11-C13</f>
        <v>30000</v>
      </c>
      <c r="D15" s="24">
        <f>D11-D13</f>
        <v>31680</v>
      </c>
      <c r="E15" s="24">
        <f>E11-E13</f>
        <v>33600</v>
      </c>
      <c r="F15" s="24">
        <f>F11-F13</f>
        <v>36000</v>
      </c>
      <c r="G15" s="24">
        <f>G11-G13</f>
        <v>39600</v>
      </c>
    </row>
    <row r="16" spans="1:7" ht="19" thickTop="1" x14ac:dyDescent="0.45">
      <c r="A16" s="22" t="s">
        <v>23</v>
      </c>
      <c r="C16" s="23">
        <f>IFERROR(C15/C7,"-")</f>
        <v>0.24</v>
      </c>
      <c r="D16" s="23">
        <f>IFERROR(D15/D7,"-")</f>
        <v>0.24</v>
      </c>
      <c r="E16" s="23">
        <f>IFERROR(E15/E7,"-")</f>
        <v>0.24</v>
      </c>
      <c r="F16" s="23">
        <f>IFERROR(F15/F7,"-")</f>
        <v>0.24</v>
      </c>
      <c r="G16" s="23">
        <f>IFERROR(G15/G7,"-")</f>
        <v>0.24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topLeftCell="A2" workbookViewId="0">
      <selection activeCell="E7" sqref="E7"/>
    </sheetView>
  </sheetViews>
  <sheetFormatPr defaultColWidth="12.6328125" defaultRowHeight="18.5" x14ac:dyDescent="0.45"/>
  <cols>
    <col min="1" max="1" width="32.7265625" style="4" customWidth="1"/>
    <col min="2" max="3" width="12.6328125" style="4"/>
    <col min="4" max="4" width="15.453125" style="4" customWidth="1"/>
    <col min="5" max="5" width="23.6328125" style="4" customWidth="1"/>
    <col min="6" max="16384" width="12.6328125" style="4"/>
  </cols>
  <sheetData>
    <row r="1" spans="1:5" x14ac:dyDescent="0.45">
      <c r="A1" s="15" t="s">
        <v>16</v>
      </c>
    </row>
    <row r="2" spans="1:5" ht="24.5" customHeight="1" x14ac:dyDescent="0.45">
      <c r="A2" s="14" t="s">
        <v>19</v>
      </c>
      <c r="B2" s="3"/>
      <c r="C2" s="3"/>
      <c r="D2" s="3"/>
    </row>
    <row r="4" spans="1:5" x14ac:dyDescent="0.45">
      <c r="A4" s="25" t="s">
        <v>0</v>
      </c>
      <c r="B4" s="26"/>
      <c r="C4" s="26"/>
      <c r="D4" s="26"/>
    </row>
    <row r="6" spans="1:5" x14ac:dyDescent="0.45">
      <c r="A6" s="27" t="s">
        <v>24</v>
      </c>
    </row>
    <row r="7" spans="1:5" x14ac:dyDescent="0.45">
      <c r="A7" s="2" t="s">
        <v>25</v>
      </c>
      <c r="D7" s="28">
        <v>2.5000000000000001E-2</v>
      </c>
    </row>
    <row r="8" spans="1:5" x14ac:dyDescent="0.45">
      <c r="D8" s="7"/>
    </row>
    <row r="9" spans="1:5" x14ac:dyDescent="0.45">
      <c r="A9" s="2" t="s">
        <v>26</v>
      </c>
      <c r="D9" s="35">
        <v>1.3</v>
      </c>
    </row>
    <row r="10" spans="1:5" x14ac:dyDescent="0.45">
      <c r="D10" s="7"/>
    </row>
    <row r="11" spans="1:5" x14ac:dyDescent="0.45">
      <c r="A11" s="2" t="s">
        <v>27</v>
      </c>
      <c r="D11" s="28">
        <v>0.06</v>
      </c>
    </row>
    <row r="12" spans="1:5" x14ac:dyDescent="0.45">
      <c r="D12" s="7"/>
    </row>
    <row r="13" spans="1:5" x14ac:dyDescent="0.45">
      <c r="A13" s="20" t="s">
        <v>28</v>
      </c>
      <c r="D13" s="29">
        <f>D7+D9*D11</f>
        <v>0.10300000000000001</v>
      </c>
      <c r="E13" s="30" t="s">
        <v>50</v>
      </c>
    </row>
    <row r="14" spans="1:5" x14ac:dyDescent="0.45">
      <c r="D14" s="7"/>
    </row>
    <row r="15" spans="1:5" x14ac:dyDescent="0.45">
      <c r="A15" s="2" t="s">
        <v>29</v>
      </c>
      <c r="D15" s="28">
        <v>4.4999999999999998E-2</v>
      </c>
    </row>
    <row r="16" spans="1:5" x14ac:dyDescent="0.45">
      <c r="D16" s="7"/>
    </row>
    <row r="17" spans="1:5" x14ac:dyDescent="0.45">
      <c r="A17" s="27" t="s">
        <v>30</v>
      </c>
      <c r="D17"/>
    </row>
    <row r="18" spans="1:5" x14ac:dyDescent="0.45">
      <c r="A18" s="2" t="s">
        <v>31</v>
      </c>
      <c r="D18" s="31">
        <v>0.25</v>
      </c>
    </row>
    <row r="19" spans="1:5" ht="19" thickBot="1" x14ac:dyDescent="0.5">
      <c r="A19" s="2" t="s">
        <v>32</v>
      </c>
      <c r="D19" s="32">
        <f>1-D18</f>
        <v>0.75</v>
      </c>
      <c r="E19" s="30" t="s">
        <v>51</v>
      </c>
    </row>
    <row r="20" spans="1:5" ht="19" thickBot="1" x14ac:dyDescent="0.5">
      <c r="A20" s="33" t="s">
        <v>1</v>
      </c>
      <c r="B20" s="34"/>
      <c r="C20" s="34"/>
      <c r="D20" s="36">
        <f>(D18*D15)+(D19*D13)</f>
        <v>8.8500000000000009E-2</v>
      </c>
      <c r="E20" s="30" t="s">
        <v>52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showGridLines="0" tabSelected="1" zoomScale="89" workbookViewId="0">
      <selection activeCell="C29" sqref="C29"/>
    </sheetView>
  </sheetViews>
  <sheetFormatPr defaultColWidth="12.6328125" defaultRowHeight="15.5" x14ac:dyDescent="0.35"/>
  <cols>
    <col min="1" max="1" width="32.7265625" style="2" customWidth="1"/>
    <col min="2" max="2" width="12.6328125" style="2"/>
    <col min="3" max="8" width="15.453125" style="2" customWidth="1"/>
    <col min="9" max="9" width="16.36328125" style="2" customWidth="1"/>
    <col min="10" max="16384" width="12.6328125" style="2"/>
  </cols>
  <sheetData>
    <row r="1" spans="1:9" ht="18.5" x14ac:dyDescent="0.45">
      <c r="A1" s="15" t="s">
        <v>16</v>
      </c>
    </row>
    <row r="2" spans="1:9" ht="18.5" x14ac:dyDescent="0.45">
      <c r="A2" s="14" t="s">
        <v>12</v>
      </c>
      <c r="B2" s="1"/>
      <c r="C2" s="1"/>
      <c r="D2" s="37" t="s">
        <v>33</v>
      </c>
    </row>
    <row r="4" spans="1:9" ht="18.5" x14ac:dyDescent="0.45">
      <c r="A4" s="38" t="s">
        <v>2</v>
      </c>
      <c r="B4" s="39"/>
      <c r="C4" s="40"/>
      <c r="D4" s="40"/>
      <c r="E4" s="40"/>
      <c r="F4" s="40"/>
      <c r="G4" s="40"/>
      <c r="H4" s="40"/>
    </row>
    <row r="6" spans="1:9" ht="18.5" x14ac:dyDescent="0.65">
      <c r="A6" s="16" t="s">
        <v>20</v>
      </c>
      <c r="C6" s="41" t="s">
        <v>3</v>
      </c>
      <c r="D6" s="41" t="s">
        <v>4</v>
      </c>
      <c r="E6" s="41" t="s">
        <v>5</v>
      </c>
      <c r="F6" s="41" t="s">
        <v>6</v>
      </c>
      <c r="G6" s="41" t="s">
        <v>7</v>
      </c>
      <c r="H6" s="42" t="s">
        <v>18</v>
      </c>
    </row>
    <row r="7" spans="1:9" x14ac:dyDescent="0.35">
      <c r="A7" s="2" t="s">
        <v>8</v>
      </c>
      <c r="C7" s="43">
        <f>Projections!C7</f>
        <v>125000</v>
      </c>
      <c r="D7" s="43">
        <f>Projections!D7</f>
        <v>132000</v>
      </c>
      <c r="E7" s="43">
        <f>Projections!E7</f>
        <v>140000</v>
      </c>
      <c r="F7" s="43">
        <f>Projections!F7</f>
        <v>150000</v>
      </c>
      <c r="G7" s="43">
        <f>Projections!G7</f>
        <v>165000</v>
      </c>
    </row>
    <row r="8" spans="1:9" x14ac:dyDescent="0.35">
      <c r="A8" s="2" t="s">
        <v>9</v>
      </c>
      <c r="B8" s="31">
        <v>2.5000000000000001E-2</v>
      </c>
    </row>
    <row r="9" spans="1:9" x14ac:dyDescent="0.35">
      <c r="A9" s="2" t="s">
        <v>10</v>
      </c>
      <c r="C9" s="44">
        <f>C7*$B$8</f>
        <v>3125</v>
      </c>
      <c r="D9" s="44">
        <f>D7*$B$8</f>
        <v>3300</v>
      </c>
      <c r="E9" s="44">
        <f>E7*$B$8</f>
        <v>3500</v>
      </c>
      <c r="F9" s="44">
        <f>F7*$B$8</f>
        <v>3750</v>
      </c>
      <c r="G9" s="44">
        <f>G7*$B$8</f>
        <v>4125</v>
      </c>
    </row>
    <row r="10" spans="1:9" ht="16" thickBot="1" x14ac:dyDescent="0.4"/>
    <row r="11" spans="1:9" ht="18.5" x14ac:dyDescent="0.65">
      <c r="A11" s="2" t="s">
        <v>11</v>
      </c>
      <c r="B11" s="31">
        <v>0.25</v>
      </c>
      <c r="C11" s="45">
        <f>C9*$B$11</f>
        <v>781.25</v>
      </c>
      <c r="D11" s="45">
        <f>D9*$B$11</f>
        <v>825</v>
      </c>
      <c r="E11" s="45">
        <f>E9*$B$11</f>
        <v>875</v>
      </c>
      <c r="F11" s="45">
        <f>F9*$B$11</f>
        <v>937.5</v>
      </c>
      <c r="G11" s="45">
        <f>G9*$B$11</f>
        <v>1031.25</v>
      </c>
      <c r="I11" s="46" t="s">
        <v>34</v>
      </c>
    </row>
    <row r="12" spans="1:9" x14ac:dyDescent="0.35">
      <c r="A12" s="20" t="s">
        <v>35</v>
      </c>
      <c r="C12" s="47">
        <f>C9-C11</f>
        <v>2343.75</v>
      </c>
      <c r="D12" s="47">
        <f>D9-D11</f>
        <v>2475</v>
      </c>
      <c r="E12" s="47">
        <f>E9-E11</f>
        <v>2625</v>
      </c>
      <c r="F12" s="47">
        <f>F9-F11</f>
        <v>2812.5</v>
      </c>
      <c r="G12" s="47">
        <f>G9-G11</f>
        <v>3093.75</v>
      </c>
      <c r="H12" s="48">
        <f>G12*(1+I14)</f>
        <v>3202.0312499999995</v>
      </c>
      <c r="I12" s="49" t="s">
        <v>36</v>
      </c>
    </row>
    <row r="13" spans="1:9" x14ac:dyDescent="0.35">
      <c r="A13" s="2" t="s">
        <v>37</v>
      </c>
      <c r="H13" s="50">
        <f>H12/($B$14-$I$14)</f>
        <v>54735.576923076907</v>
      </c>
      <c r="I13" s="49" t="s">
        <v>38</v>
      </c>
    </row>
    <row r="14" spans="1:9" ht="16" thickBot="1" x14ac:dyDescent="0.4">
      <c r="A14" s="2" t="s">
        <v>39</v>
      </c>
      <c r="B14" s="51">
        <f>WACC!D20+0.005</f>
        <v>9.3500000000000014E-2</v>
      </c>
      <c r="I14" s="52">
        <v>3.5000000000000003E-2</v>
      </c>
    </row>
    <row r="15" spans="1:9" x14ac:dyDescent="0.35">
      <c r="B15" s="8"/>
      <c r="I15" s="10"/>
    </row>
    <row r="16" spans="1:9" x14ac:dyDescent="0.35">
      <c r="A16" s="20" t="s">
        <v>47</v>
      </c>
      <c r="B16" s="8"/>
      <c r="C16" s="53">
        <f>C12/(1+$B$14)</f>
        <v>2143.3470507544585</v>
      </c>
      <c r="D16" s="53">
        <f>D12/(1+$B$14)</f>
        <v>2263.3744855967079</v>
      </c>
      <c r="E16" s="53">
        <f>E12/(1+$B$14)</f>
        <v>2400.5486968449932</v>
      </c>
      <c r="F16" s="53">
        <f>F12/(1+$B$14)</f>
        <v>2572.01646090535</v>
      </c>
      <c r="G16" s="53">
        <f>G12/(1+$B$14)+H13</f>
        <v>57564.79503007279</v>
      </c>
      <c r="I16" s="10"/>
    </row>
    <row r="17" spans="1:9" x14ac:dyDescent="0.35">
      <c r="B17" s="8"/>
      <c r="I17" s="10"/>
    </row>
    <row r="18" spans="1:9" x14ac:dyDescent="0.35">
      <c r="A18" s="54" t="s">
        <v>40</v>
      </c>
    </row>
    <row r="19" spans="1:9" ht="16" thickBot="1" x14ac:dyDescent="0.4">
      <c r="E19"/>
      <c r="F19"/>
      <c r="G19"/>
    </row>
    <row r="20" spans="1:9" ht="19" thickBot="1" x14ac:dyDescent="0.5">
      <c r="A20" s="33" t="s">
        <v>41</v>
      </c>
      <c r="B20" s="55"/>
      <c r="C20" s="62"/>
      <c r="D20" s="56"/>
      <c r="E20"/>
      <c r="F20"/>
      <c r="G20"/>
    </row>
    <row r="21" spans="1:9" x14ac:dyDescent="0.35">
      <c r="A21"/>
      <c r="B21" s="9"/>
      <c r="C21"/>
      <c r="E21"/>
      <c r="F21"/>
      <c r="G21"/>
    </row>
    <row r="22" spans="1:9" ht="16" thickBot="1" x14ac:dyDescent="0.4">
      <c r="A22" s="12" t="s">
        <v>42</v>
      </c>
      <c r="B22" s="13"/>
      <c r="C22" s="57">
        <f>NPV(B14,C16:G16)</f>
        <v>44305.968045843423</v>
      </c>
      <c r="D22" s="30" t="s">
        <v>43</v>
      </c>
      <c r="E22"/>
      <c r="F22"/>
      <c r="G22"/>
    </row>
    <row r="23" spans="1:9" x14ac:dyDescent="0.35">
      <c r="A23" s="2" t="s">
        <v>44</v>
      </c>
      <c r="C23" s="58">
        <f>1/(1-B11*((1-POWER(1+B14,-15))/B14)/15)</f>
        <v>1.1515609226686148</v>
      </c>
      <c r="D23" s="30" t="s">
        <v>48</v>
      </c>
      <c r="E23"/>
      <c r="F23"/>
      <c r="G23"/>
    </row>
    <row r="24" spans="1:9" ht="16" thickBot="1" x14ac:dyDescent="0.4">
      <c r="A24"/>
      <c r="B24"/>
      <c r="C24"/>
      <c r="E24"/>
      <c r="F24"/>
      <c r="G24"/>
    </row>
    <row r="25" spans="1:9" ht="19" thickBot="1" x14ac:dyDescent="0.5">
      <c r="A25" s="59" t="s">
        <v>45</v>
      </c>
      <c r="B25" s="60"/>
      <c r="C25" s="61">
        <f>C22*C23</f>
        <v>51021.021442597616</v>
      </c>
      <c r="D25" s="30" t="s">
        <v>46</v>
      </c>
      <c r="E25"/>
      <c r="F25"/>
      <c r="G25"/>
    </row>
    <row r="26" spans="1:9" x14ac:dyDescent="0.35">
      <c r="A26"/>
      <c r="B26"/>
      <c r="C26"/>
      <c r="D26"/>
      <c r="E26"/>
      <c r="F26"/>
      <c r="G26"/>
      <c r="H26"/>
      <c r="I26"/>
    </row>
    <row r="27" spans="1:9" x14ac:dyDescent="0.35">
      <c r="A27" s="63" t="s">
        <v>49</v>
      </c>
      <c r="B27"/>
      <c r="C27"/>
      <c r="D27"/>
      <c r="E27"/>
      <c r="F27"/>
      <c r="G27"/>
      <c r="H27"/>
      <c r="I27"/>
    </row>
    <row r="28" spans="1:9" x14ac:dyDescent="0.35">
      <c r="A28"/>
      <c r="B28"/>
      <c r="C28"/>
      <c r="D28"/>
      <c r="E28"/>
      <c r="F28"/>
      <c r="G28"/>
      <c r="H28"/>
      <c r="I28"/>
    </row>
    <row r="29" spans="1:9" x14ac:dyDescent="0.35">
      <c r="A29"/>
      <c r="B29"/>
      <c r="C29"/>
      <c r="D29"/>
      <c r="E29"/>
      <c r="F29"/>
      <c r="G29"/>
      <c r="H29"/>
      <c r="I29"/>
    </row>
    <row r="30" spans="1:9" x14ac:dyDescent="0.35">
      <c r="A30"/>
      <c r="B30"/>
      <c r="C30"/>
      <c r="D30"/>
      <c r="E30"/>
      <c r="F30"/>
      <c r="G30"/>
      <c r="H30"/>
      <c r="I30"/>
    </row>
    <row r="31" spans="1:9" x14ac:dyDescent="0.35">
      <c r="A31"/>
      <c r="B31"/>
      <c r="C31"/>
      <c r="D31"/>
      <c r="E31"/>
      <c r="F31"/>
      <c r="G31"/>
      <c r="H31"/>
      <c r="I31"/>
    </row>
    <row r="32" spans="1:9" x14ac:dyDescent="0.35">
      <c r="A32"/>
      <c r="B32"/>
      <c r="C32"/>
      <c r="D32"/>
      <c r="E32"/>
      <c r="F32"/>
      <c r="G32"/>
      <c r="H32"/>
      <c r="I32"/>
    </row>
    <row r="33" spans="1:9" x14ac:dyDescent="0.35">
      <c r="A33"/>
      <c r="B33"/>
      <c r="C33"/>
      <c r="D33"/>
      <c r="E33"/>
      <c r="F33"/>
      <c r="G33"/>
      <c r="H33"/>
      <c r="I33"/>
    </row>
    <row r="34" spans="1:9" x14ac:dyDescent="0.35">
      <c r="A34"/>
      <c r="B34"/>
      <c r="C34"/>
      <c r="D34"/>
      <c r="E34"/>
      <c r="F34"/>
      <c r="G34"/>
      <c r="H34"/>
      <c r="I34"/>
    </row>
    <row r="35" spans="1:9" x14ac:dyDescent="0.35">
      <c r="A35"/>
      <c r="B35"/>
      <c r="C35"/>
      <c r="D35"/>
      <c r="E35"/>
      <c r="F35"/>
      <c r="G35"/>
      <c r="H35"/>
      <c r="I35"/>
    </row>
    <row r="36" spans="1:9" x14ac:dyDescent="0.35">
      <c r="A36"/>
      <c r="B36"/>
      <c r="C36"/>
      <c r="D36"/>
      <c r="E36"/>
      <c r="F36"/>
      <c r="G36"/>
      <c r="H36"/>
      <c r="I36"/>
    </row>
    <row r="37" spans="1:9" x14ac:dyDescent="0.35">
      <c r="A37"/>
      <c r="B37"/>
      <c r="C37"/>
      <c r="D37"/>
      <c r="E37"/>
      <c r="F37"/>
      <c r="G37"/>
      <c r="H37"/>
      <c r="I37"/>
    </row>
  </sheetData>
  <mergeCells count="1">
    <mergeCell ref="A4:B4"/>
  </mergeCells>
  <pageMargins left="0.7" right="0.7" top="0.75" bottom="0.75" header="0.3" footer="0.3"/>
  <pageSetup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Projections</vt:lpstr>
      <vt:lpstr>WACC</vt:lpstr>
      <vt:lpstr>TN</vt:lpstr>
      <vt:lpstr>Projections!Print_Area</vt:lpstr>
      <vt:lpstr>TN!Print_Area</vt:lpstr>
      <vt:lpstr>WACC!Print_Area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kenny</dc:creator>
  <cp:lastModifiedBy>Prabin Pandey</cp:lastModifiedBy>
  <cp:lastPrinted>2021-12-20T19:47:38Z</cp:lastPrinted>
  <dcterms:created xsi:type="dcterms:W3CDTF">2018-08-26T21:00:11Z</dcterms:created>
  <dcterms:modified xsi:type="dcterms:W3CDTF">2026-02-23T16:35:17Z</dcterms:modified>
</cp:coreProperties>
</file>