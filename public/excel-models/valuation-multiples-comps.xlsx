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7BFEC909-3B49-452B-80D3-479EB22073D4}" xr6:coauthVersionLast="47" xr6:coauthVersionMax="47" xr10:uidLastSave="{00000000-0000-0000-0000-000000000000}"/>
  <bookViews>
    <workbookView xWindow="-107" yWindow="-107" windowWidth="20847" windowHeight="11111" activeTab="1" xr2:uid="{00000000-000D-0000-FFFF-FFFF00000000}"/>
  </bookViews>
  <sheets>
    <sheet name="Multiples" sheetId="1" r:id="rId1"/>
    <sheet name="Risk and Growth" sheetId="2" r:id="rId2"/>
  </sheets>
  <definedNames>
    <definedName name="_xlnm.Print_Area" localSheetId="0">Multiples!$A$1:$G$26</definedName>
    <definedName name="_xlnm.Print_Area" localSheetId="1">'Risk and Growth'!$A$1:$E$19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9" i="1"/>
  <c r="D16" i="1"/>
  <c r="D15" i="1"/>
  <c r="C11" i="2"/>
  <c r="C14" i="2" s="1"/>
</calcChain>
</file>

<file path=xl/sharedStrings.xml><?xml version="1.0" encoding="utf-8"?>
<sst xmlns="http://schemas.openxmlformats.org/spreadsheetml/2006/main" count="35" uniqueCount="31">
  <si>
    <t>Invested Capital Value</t>
  </si>
  <si>
    <t>Revenue</t>
  </si>
  <si>
    <t>EBITDA</t>
  </si>
  <si>
    <t>EBITDA Margin</t>
  </si>
  <si>
    <t>Depreciation/Amortization</t>
  </si>
  <si>
    <t>EBIT</t>
  </si>
  <si>
    <t>Taxes at 25%</t>
  </si>
  <si>
    <t>NOPAT</t>
  </si>
  <si>
    <t>EBITDA Multiple</t>
  </si>
  <si>
    <t>X</t>
  </si>
  <si>
    <t>Revenue Multiple</t>
  </si>
  <si>
    <t>EBITDA Multiple times EBITDA Margin</t>
  </si>
  <si>
    <t xml:space="preserve">   Equals Revenue Multiple</t>
  </si>
  <si>
    <t>Assume a WACC of</t>
  </si>
  <si>
    <t>NOPAT Multiple</t>
  </si>
  <si>
    <t>1 Divided by NOPAT Multiple = Cap Rate</t>
  </si>
  <si>
    <t>WACC less Cap Rate = Implied Long-Term Growth Rate</t>
  </si>
  <si>
    <t>RISK AND GROWTH</t>
  </si>
  <si>
    <t>THE HIGHER THE WACC THE HIGHER THE RISK</t>
  </si>
  <si>
    <t>AND VICE VERSA</t>
  </si>
  <si>
    <t>1 DIVIDEND BY CAP RATE IS THE</t>
  </si>
  <si>
    <t>MULTIPLE (Invested Capital Value)</t>
  </si>
  <si>
    <t>YOU CAN USE IT ON COST OF EQUITY BUT REQUIRES SOME ADJUSTMENT TO THE</t>
  </si>
  <si>
    <t>GROWTH ASSUMPTION RELATED TO EQUITY.  WHY WOULD THIS BE???</t>
  </si>
  <si>
    <t>RELATIONSHIPS - MULTIPLES/WACC/LONG-TERM GROWTH RATE</t>
  </si>
  <si>
    <t>--WACC MEASURES RISK</t>
  </si>
  <si>
    <t>--A MULTIPLE MEASURES RISK AND GROWTH</t>
  </si>
  <si>
    <t>WACC - Risk</t>
  </si>
  <si>
    <t>LESS GROWTH EXPECTATIONS</t>
  </si>
  <si>
    <t>= CAPITALIZATION RATE</t>
  </si>
  <si>
    <t>YOU CAN USE THIS TO CALCULATE MARKET IMPLIED GROWTH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</si>
</sst>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.0_);_(&quot;$&quot;* \(#,##0.0\);_(&quot;$&quot;* &quot;-&quot;??_);_(@_)"/>
    <numFmt numFmtId="167" formatCode="_(* #,##0.0_);_(* \(#,##0.0\);_(* &quot;-&quot;??_);_(@_)"/>
    <numFmt numFmtId="168" formatCode="0.0%"/>
    <numFmt numFmtId="169" formatCode="_(* #,##0.0_);_(* \(#,##0.0\);_(* &quot;-&quot;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70C0"/>
      <name val="Calibri"/>
      <family val="2"/>
      <scheme val="minor"/>
    </font>
    <font>
      <b/>
      <u/>
      <sz val="16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166" fontId="5" fillId="0" borderId="0" xfId="2" applyNumberFormat="1" applyFont="1"/>
    <xf numFmtId="167" fontId="5" fillId="0" borderId="0" xfId="1" applyNumberFormat="1" applyFont="1"/>
    <xf numFmtId="168" fontId="5" fillId="0" borderId="0" xfId="3" applyNumberFormat="1" applyFont="1"/>
    <xf numFmtId="0" fontId="6" fillId="0" borderId="0" xfId="0" applyFont="1"/>
    <xf numFmtId="168" fontId="5" fillId="2" borderId="0" xfId="3" applyNumberFormat="1" applyFont="1" applyFill="1"/>
    <xf numFmtId="167" fontId="5" fillId="2" borderId="0" xfId="1" applyNumberFormat="1" applyFont="1" applyFill="1"/>
    <xf numFmtId="169" fontId="5" fillId="2" borderId="0" xfId="0" applyNumberFormat="1" applyFont="1" applyFill="1"/>
    <xf numFmtId="167" fontId="5" fillId="2" borderId="0" xfId="0" applyNumberFormat="1" applyFont="1" applyFill="1"/>
    <xf numFmtId="168" fontId="5" fillId="2" borderId="0" xfId="0" applyNumberFormat="1" applyFont="1" applyFill="1"/>
    <xf numFmtId="0" fontId="7" fillId="0" borderId="0" xfId="0" applyFont="1"/>
    <xf numFmtId="168" fontId="7" fillId="0" borderId="0" xfId="0" applyNumberFormat="1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10" fillId="0" borderId="0" xfId="0" applyFont="1"/>
    <xf numFmtId="0" fontId="9" fillId="0" borderId="0" xfId="0" quotePrefix="1" applyFont="1"/>
    <xf numFmtId="0" fontId="7" fillId="0" borderId="0" xfId="0" quotePrefix="1" applyFont="1"/>
    <xf numFmtId="168" fontId="9" fillId="2" borderId="0" xfId="3" applyNumberFormat="1" applyFont="1" applyFill="1"/>
    <xf numFmtId="167" fontId="8" fillId="2" borderId="5" xfId="1" applyNumberFormat="1" applyFont="1" applyFill="1" applyBorder="1"/>
    <xf numFmtId="9" fontId="5" fillId="2" borderId="0" xfId="3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showGridLines="0" topLeftCell="A6" workbookViewId="0">
      <selection activeCell="D22" sqref="D22"/>
    </sheetView>
  </sheetViews>
  <sheetFormatPr defaultRowHeight="14" x14ac:dyDescent="0.3"/>
  <cols>
    <col min="1" max="1" width="29.59765625" customWidth="1"/>
    <col min="2" max="4" width="13.69921875" customWidth="1"/>
    <col min="5" max="5" width="4.69921875" customWidth="1"/>
    <col min="6" max="13" width="13.69921875" customWidth="1"/>
  </cols>
  <sheetData>
    <row r="1" spans="1:5" ht="18.3" x14ac:dyDescent="0.4">
      <c r="A1" s="1" t="s">
        <v>24</v>
      </c>
    </row>
    <row r="2" spans="1:5" x14ac:dyDescent="0.3">
      <c r="A2" s="2"/>
    </row>
    <row r="3" spans="1:5" x14ac:dyDescent="0.3">
      <c r="A3" s="2"/>
    </row>
    <row r="4" spans="1:5" ht="15.6" x14ac:dyDescent="0.35">
      <c r="A4" s="3" t="s">
        <v>0</v>
      </c>
      <c r="B4" s="4"/>
      <c r="C4" s="4"/>
      <c r="D4" s="5">
        <v>5000</v>
      </c>
      <c r="E4" s="4"/>
    </row>
    <row r="5" spans="1:5" ht="15.6" x14ac:dyDescent="0.35">
      <c r="A5" s="3"/>
      <c r="B5" s="4"/>
      <c r="C5" s="4"/>
      <c r="D5" s="4"/>
      <c r="E5" s="4"/>
    </row>
    <row r="6" spans="1:5" ht="15.6" x14ac:dyDescent="0.35">
      <c r="A6" s="3" t="s">
        <v>1</v>
      </c>
      <c r="B6" s="4"/>
      <c r="C6" s="4"/>
      <c r="D6" s="6">
        <v>2500</v>
      </c>
      <c r="E6" s="4"/>
    </row>
    <row r="7" spans="1:5" ht="15.6" x14ac:dyDescent="0.35">
      <c r="A7" s="3"/>
      <c r="B7" s="4"/>
      <c r="C7" s="4"/>
      <c r="D7" s="6"/>
      <c r="E7" s="4"/>
    </row>
    <row r="8" spans="1:5" ht="15.6" x14ac:dyDescent="0.35">
      <c r="A8" s="3" t="s">
        <v>2</v>
      </c>
      <c r="B8" s="4"/>
      <c r="C8" s="4"/>
      <c r="D8" s="6">
        <v>750</v>
      </c>
      <c r="E8" s="4"/>
    </row>
    <row r="9" spans="1:5" ht="15.6" x14ac:dyDescent="0.35">
      <c r="A9" s="3" t="s">
        <v>3</v>
      </c>
      <c r="B9" s="4"/>
      <c r="C9" s="4"/>
      <c r="D9" s="9">
        <f>D8/D6</f>
        <v>0.3</v>
      </c>
      <c r="E9" s="4"/>
    </row>
    <row r="10" spans="1:5" ht="15.6" x14ac:dyDescent="0.35">
      <c r="A10" s="3" t="s">
        <v>4</v>
      </c>
      <c r="B10" s="4"/>
      <c r="C10" s="4"/>
      <c r="D10" s="6">
        <v>150</v>
      </c>
      <c r="E10" s="4"/>
    </row>
    <row r="11" spans="1:5" ht="15.6" x14ac:dyDescent="0.35">
      <c r="A11" s="3" t="s">
        <v>5</v>
      </c>
      <c r="B11" s="4"/>
      <c r="C11" s="4"/>
      <c r="D11" s="10">
        <v>600</v>
      </c>
      <c r="E11" s="4"/>
    </row>
    <row r="12" spans="1:5" ht="15.6" x14ac:dyDescent="0.35">
      <c r="A12" s="3" t="s">
        <v>6</v>
      </c>
      <c r="B12" s="4"/>
      <c r="C12" s="4"/>
      <c r="D12" s="10">
        <v>150</v>
      </c>
      <c r="E12" s="4"/>
    </row>
    <row r="13" spans="1:5" ht="15.6" x14ac:dyDescent="0.35">
      <c r="A13" s="3" t="s">
        <v>7</v>
      </c>
      <c r="B13" s="4"/>
      <c r="C13" s="4"/>
      <c r="D13" s="10">
        <v>450</v>
      </c>
      <c r="E13" s="4"/>
    </row>
    <row r="14" spans="1:5" ht="15.6" x14ac:dyDescent="0.35">
      <c r="A14" s="3"/>
      <c r="B14" s="4"/>
      <c r="C14" s="4"/>
      <c r="D14" s="4"/>
      <c r="E14" s="4"/>
    </row>
    <row r="15" spans="1:5" ht="15.6" x14ac:dyDescent="0.35">
      <c r="A15" s="3" t="s">
        <v>8</v>
      </c>
      <c r="B15" s="4"/>
      <c r="C15" s="4"/>
      <c r="D15" s="11">
        <f>D4/D8</f>
        <v>6.666666666666667</v>
      </c>
      <c r="E15" s="4" t="s">
        <v>9</v>
      </c>
    </row>
    <row r="16" spans="1:5" ht="15.6" x14ac:dyDescent="0.35">
      <c r="A16" s="3" t="s">
        <v>10</v>
      </c>
      <c r="B16" s="4"/>
      <c r="C16" s="4"/>
      <c r="D16" s="11">
        <f>D4/D6</f>
        <v>2</v>
      </c>
      <c r="E16" s="4" t="s">
        <v>9</v>
      </c>
    </row>
    <row r="17" spans="1:5" ht="15.6" x14ac:dyDescent="0.35">
      <c r="A17" s="8" t="s">
        <v>11</v>
      </c>
      <c r="B17" s="4"/>
      <c r="C17" s="4"/>
      <c r="D17" s="11">
        <v>2</v>
      </c>
      <c r="E17" s="4" t="s">
        <v>9</v>
      </c>
    </row>
    <row r="18" spans="1:5" ht="15.6" x14ac:dyDescent="0.35">
      <c r="A18" s="8" t="s">
        <v>12</v>
      </c>
      <c r="B18" s="4"/>
      <c r="C18" s="4"/>
      <c r="D18" s="4"/>
      <c r="E18" s="4"/>
    </row>
    <row r="19" spans="1:5" ht="15.6" x14ac:dyDescent="0.35">
      <c r="A19" s="4"/>
      <c r="B19" s="4"/>
      <c r="C19" s="4"/>
      <c r="D19" s="4"/>
      <c r="E19" s="4"/>
    </row>
    <row r="20" spans="1:5" ht="15.6" x14ac:dyDescent="0.35">
      <c r="A20" s="3" t="s">
        <v>13</v>
      </c>
      <c r="B20" s="4"/>
      <c r="C20" s="4"/>
      <c r="D20" s="7">
        <v>0.12</v>
      </c>
      <c r="E20" s="4"/>
    </row>
    <row r="21" spans="1:5" ht="15.6" x14ac:dyDescent="0.35">
      <c r="A21" s="3" t="s">
        <v>14</v>
      </c>
      <c r="B21" s="4"/>
      <c r="C21" s="4"/>
      <c r="D21" s="12">
        <v>11.1</v>
      </c>
      <c r="E21" s="4" t="s">
        <v>9</v>
      </c>
    </row>
    <row r="22" spans="1:5" ht="15.6" x14ac:dyDescent="0.35">
      <c r="A22" s="3" t="s">
        <v>15</v>
      </c>
      <c r="B22" s="4"/>
      <c r="C22" s="4"/>
      <c r="D22" s="27">
        <f>1/D21%</f>
        <v>9.0090090090090094</v>
      </c>
      <c r="E22" s="4"/>
    </row>
    <row r="23" spans="1:5" ht="15.6" x14ac:dyDescent="0.35">
      <c r="A23" s="3" t="s">
        <v>16</v>
      </c>
      <c r="B23" s="4"/>
      <c r="C23" s="4"/>
      <c r="D23" s="13">
        <f>D20-D22</f>
        <v>-8.8890090090090101</v>
      </c>
      <c r="E23" s="4"/>
    </row>
    <row r="24" spans="1:5" ht="15.6" x14ac:dyDescent="0.35">
      <c r="A24" s="4"/>
      <c r="B24" s="4"/>
      <c r="C24" s="4"/>
      <c r="D24" s="4"/>
      <c r="E24" s="4"/>
    </row>
    <row r="25" spans="1:5" ht="15.6" x14ac:dyDescent="0.35">
      <c r="A25" s="4"/>
      <c r="B25" s="4"/>
      <c r="C25" s="4"/>
      <c r="D25" s="4"/>
      <c r="E25" s="4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264B-2F1D-4FFF-A7D1-32BD7510D656}">
  <dimension ref="A1:D19"/>
  <sheetViews>
    <sheetView showGridLines="0" tabSelected="1" workbookViewId="0">
      <selection activeCell="C10" sqref="C10"/>
    </sheetView>
  </sheetViews>
  <sheetFormatPr defaultColWidth="19.3984375" defaultRowHeight="20.95" customHeight="1" x14ac:dyDescent="0.45"/>
  <cols>
    <col min="1" max="1" width="27.69921875" style="14" customWidth="1"/>
    <col min="2" max="16384" width="19.3984375" style="14"/>
  </cols>
  <sheetData>
    <row r="1" spans="1:4" ht="20.95" customHeight="1" x14ac:dyDescent="0.45">
      <c r="A1" s="22" t="s">
        <v>17</v>
      </c>
    </row>
    <row r="3" spans="1:4" ht="20.95" customHeight="1" x14ac:dyDescent="0.45">
      <c r="A3" s="23" t="s">
        <v>25</v>
      </c>
    </row>
    <row r="4" spans="1:4" ht="20.95" customHeight="1" x14ac:dyDescent="0.45">
      <c r="A4" s="23" t="s">
        <v>26</v>
      </c>
    </row>
    <row r="6" spans="1:4" ht="20.95" customHeight="1" x14ac:dyDescent="0.45">
      <c r="A6" s="14" t="s">
        <v>18</v>
      </c>
    </row>
    <row r="7" spans="1:4" ht="20.95" customHeight="1" x14ac:dyDescent="0.45">
      <c r="A7" s="14" t="s">
        <v>19</v>
      </c>
    </row>
    <row r="9" spans="1:4" ht="20.95" customHeight="1" x14ac:dyDescent="0.45">
      <c r="A9" s="14" t="s">
        <v>27</v>
      </c>
      <c r="C9" s="25">
        <v>0.12</v>
      </c>
    </row>
    <row r="10" spans="1:4" ht="20.95" customHeight="1" x14ac:dyDescent="0.45">
      <c r="A10" s="14" t="s">
        <v>28</v>
      </c>
      <c r="C10" s="25">
        <v>0.05</v>
      </c>
    </row>
    <row r="11" spans="1:4" ht="20.95" customHeight="1" x14ac:dyDescent="0.45">
      <c r="A11" s="24" t="s">
        <v>29</v>
      </c>
      <c r="C11" s="15">
        <f>+C9-C10</f>
        <v>6.9999999999999993E-2</v>
      </c>
    </row>
    <row r="12" spans="1:4" ht="20.95" customHeight="1" thickBot="1" x14ac:dyDescent="0.5"/>
    <row r="13" spans="1:4" ht="20.95" customHeight="1" x14ac:dyDescent="0.45">
      <c r="A13" s="16" t="s">
        <v>20</v>
      </c>
      <c r="B13" s="17"/>
      <c r="C13" s="17"/>
      <c r="D13" s="18"/>
    </row>
    <row r="14" spans="1:4" ht="20.95" customHeight="1" thickBot="1" x14ac:dyDescent="0.5">
      <c r="A14" s="19" t="s">
        <v>21</v>
      </c>
      <c r="B14" s="20"/>
      <c r="C14" s="26">
        <f>1/C11</f>
        <v>14.285714285714286</v>
      </c>
      <c r="D14" s="21" t="s">
        <v>9</v>
      </c>
    </row>
    <row r="16" spans="1:4" ht="20.95" customHeight="1" x14ac:dyDescent="0.45">
      <c r="A16" s="14" t="s">
        <v>30</v>
      </c>
    </row>
    <row r="18" spans="1:1" ht="20.95" customHeight="1" x14ac:dyDescent="0.45">
      <c r="A18" s="14" t="s">
        <v>22</v>
      </c>
    </row>
    <row r="19" spans="1:1" ht="20.95" customHeight="1" x14ac:dyDescent="0.45">
      <c r="A19" s="14" t="s">
        <v>23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Multiples</vt:lpstr>
      <vt:lpstr>Risk and Growth</vt:lpstr>
      <vt:lpstr>Multiples!Print_Area</vt:lpstr>
      <vt:lpstr>'Risk and Growth'!Print_Area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kenny</dc:creator>
  <cp:lastModifiedBy>ahmed ASIF</cp:lastModifiedBy>
  <cp:lastPrinted>2019-11-20T17:31:11Z</cp:lastPrinted>
  <dcterms:created xsi:type="dcterms:W3CDTF">2019-03-28T00:53:03Z</dcterms:created>
  <dcterms:modified xsi:type="dcterms:W3CDTF">2025-01-15T00:14:48Z</dcterms:modified>
</cp:coreProperties>
</file>