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u00197_temple_edu/Documents/Desktop/Generative AI/Start using Claude Code/claude_portfolio/Excel Project/"/>
    </mc:Choice>
  </mc:AlternateContent>
  <xr:revisionPtr revIDLastSave="9" documentId="8_{3475BC82-55D8-499F-B37A-F3497B039052}" xr6:coauthVersionLast="47" xr6:coauthVersionMax="47" xr10:uidLastSave="{ADD9DE16-6D9C-4CF3-BAD5-54BFEDAC709F}"/>
  <bookViews>
    <workbookView xWindow="-110" yWindow="-110" windowWidth="19420" windowHeight="11500" activeTab="1" xr2:uid="{00000000-000D-0000-FFFF-FFFF00000000}"/>
  </bookViews>
  <sheets>
    <sheet name="Transaction" sheetId="1" r:id="rId1"/>
    <sheet name="Sources Uses" sheetId="2" r:id="rId2"/>
    <sheet name="Balance Sheet" sheetId="3" r:id="rId3"/>
  </sheets>
  <definedNames>
    <definedName name="_xlnm.Print_Area" localSheetId="2">'Balance Sheet'!$A$1:$E$34</definedName>
    <definedName name="_xlnm.Print_Area" localSheetId="1">'Sources Uses'!$A$1:$F$26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D28" i="2"/>
  <c r="E26" i="2"/>
  <c r="D26" i="2"/>
  <c r="E25" i="2"/>
  <c r="D23" i="2"/>
  <c r="D22" i="2"/>
  <c r="D21" i="2"/>
  <c r="D20" i="2"/>
  <c r="F15" i="2"/>
  <c r="F13" i="2"/>
  <c r="F12" i="2"/>
  <c r="F9" i="2"/>
  <c r="F7" i="2"/>
  <c r="G5" i="2"/>
  <c r="G4" i="2"/>
  <c r="C13" i="3" s="1"/>
  <c r="E13" i="3" s="1"/>
  <c r="E16" i="3" s="1"/>
  <c r="E37" i="3" s="1"/>
  <c r="A2" i="2"/>
  <c r="A1" i="3"/>
  <c r="E34" i="3"/>
  <c r="E32" i="3"/>
  <c r="E31" i="3"/>
  <c r="E30" i="3"/>
  <c r="E28" i="3"/>
  <c r="E27" i="3"/>
  <c r="E26" i="3"/>
  <c r="E25" i="3"/>
  <c r="E23" i="3"/>
  <c r="E22" i="3"/>
  <c r="E21" i="3"/>
  <c r="E20" i="3"/>
  <c r="E19" i="3"/>
  <c r="E15" i="3"/>
  <c r="E14" i="3"/>
  <c r="E11" i="3"/>
  <c r="E9" i="3"/>
  <c r="E8" i="3"/>
  <c r="E7" i="3"/>
  <c r="E6" i="3"/>
  <c r="E5" i="3"/>
  <c r="D30" i="3"/>
  <c r="D26" i="3"/>
  <c r="C15" i="3"/>
  <c r="C14" i="3"/>
  <c r="C11" i="3"/>
  <c r="B34" i="3"/>
  <c r="B32" i="3"/>
  <c r="B28" i="3"/>
  <c r="B23" i="3"/>
  <c r="B16" i="3"/>
  <c r="B9" i="3"/>
</calcChain>
</file>

<file path=xl/sharedStrings.xml><?xml version="1.0" encoding="utf-8"?>
<sst xmlns="http://schemas.openxmlformats.org/spreadsheetml/2006/main" count="63" uniqueCount="58">
  <si>
    <t>TRANSACTION - SOURCES AND USES</t>
  </si>
  <si>
    <t>Sources</t>
  </si>
  <si>
    <t>Total Sources</t>
  </si>
  <si>
    <t>Uses</t>
  </si>
  <si>
    <t>Purchase Price - Equity</t>
  </si>
  <si>
    <t>Repay existing debt</t>
  </si>
  <si>
    <t>Transaction Expenses</t>
  </si>
  <si>
    <t>Total Uses</t>
  </si>
  <si>
    <t>Journal Entries</t>
  </si>
  <si>
    <t>Debit</t>
  </si>
  <si>
    <t>Credit</t>
  </si>
  <si>
    <t>Common Stock</t>
  </si>
  <si>
    <t>Retained Earnings</t>
  </si>
  <si>
    <t>Transaction fees</t>
  </si>
  <si>
    <t>Common Stock - Equity new</t>
  </si>
  <si>
    <t>ASSETS</t>
  </si>
  <si>
    <t>Cash And Equivalents</t>
  </si>
  <si>
    <t>Accounts Receivable</t>
  </si>
  <si>
    <t>Inventory</t>
  </si>
  <si>
    <t>Prepaid Exp.</t>
  </si>
  <si>
    <t xml:space="preserve">  Total Current Assets</t>
  </si>
  <si>
    <t>Goodwill</t>
  </si>
  <si>
    <t>Other Long-Term Assets</t>
  </si>
  <si>
    <t>Total Assets</t>
  </si>
  <si>
    <t>LIABILITIES</t>
  </si>
  <si>
    <t>Accounts Payable</t>
  </si>
  <si>
    <t>Accrued Exp.</t>
  </si>
  <si>
    <t>Other Current Liabilities</t>
  </si>
  <si>
    <t xml:space="preserve">  Total Current Liabilities</t>
  </si>
  <si>
    <t>Long-Term Debt</t>
  </si>
  <si>
    <t>Other Non-Current Liabilities</t>
  </si>
  <si>
    <t>Total Liabilities</t>
  </si>
  <si>
    <t>Total Equity</t>
  </si>
  <si>
    <t>Total Liabilities And Equity</t>
  </si>
  <si>
    <t>Net Property, Plant &amp; Equipment</t>
  </si>
  <si>
    <t>OPENING BALANCE SHEET</t>
  </si>
  <si>
    <t>Unadjusted</t>
  </si>
  <si>
    <t>Adjusted</t>
  </si>
  <si>
    <t>PRIVATE EQUITY ACQUISITION</t>
  </si>
  <si>
    <t>Common equity</t>
  </si>
  <si>
    <t>Fixed assets</t>
  </si>
  <si>
    <t>Identified intangibles</t>
  </si>
  <si>
    <t>Existing equity</t>
  </si>
  <si>
    <t>Current debt</t>
  </si>
  <si>
    <t>New senior debt</t>
  </si>
  <si>
    <t>Identified Intangibles</t>
  </si>
  <si>
    <t>(1)</t>
  </si>
  <si>
    <t>(1) Note transaction fees will be written off and expensed in the year of the transaction.</t>
  </si>
  <si>
    <t>AMERICAN TOOL CORP.</t>
  </si>
  <si>
    <t>Current Portion LT Debt</t>
  </si>
  <si>
    <t>New Term Loan</t>
  </si>
  <si>
    <t>Term debt</t>
  </si>
  <si>
    <t>Price</t>
  </si>
  <si>
    <t>BV of Equity</t>
  </si>
  <si>
    <t>Excess</t>
  </si>
  <si>
    <t>Balance Check:</t>
  </si>
  <si>
    <t>($ in millions)</t>
  </si>
  <si>
    <t>SHAREHOLDERS'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</si>
</sst>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?_);_(@_)"/>
    <numFmt numFmtId="165" formatCode="_(* #,##0.0_);_(* \(#,##0.0\);_(* &quot;-&quot;??_);_(@_)"/>
    <numFmt numFmtId="166" formatCode="_(* #,##0.0_);_(* \(#,##0.0\)_)\ ;_(* 0_)"/>
    <numFmt numFmtId="169" formatCode="#,##0;\(#,##0\);&quot;-&quot;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1"/>
      <color indexed="9"/>
      <name val="Symbol"/>
      <family val="1"/>
      <charset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 val="double"/>
      <sz val="11"/>
      <color indexed="8"/>
      <name val="Arial"/>
      <family val="2"/>
    </font>
    <font>
      <b/>
      <u/>
      <sz val="11"/>
      <color indexed="8"/>
      <name val="Arial"/>
      <family val="2"/>
    </font>
    <font>
      <b/>
      <sz val="11"/>
      <name val="Arial"/>
      <family val="2"/>
    </font>
    <font>
      <b/>
      <sz val="11"/>
      <color rgb="FFFF0000"/>
      <name val="Times New Roman"/>
      <family val="1"/>
    </font>
    <font>
      <b/>
      <sz val="11"/>
      <color rgb="FF000000"/>
      <name val="Arial"/>
      <family val="2"/>
    </font>
    <font>
      <b/>
      <sz val="11"/>
      <color rgb="FF006400"/>
      <name val="Arial"/>
      <family val="2"/>
    </font>
    <font>
      <i/>
      <sz val="9"/>
      <name val="Arial"/>
      <family val="2"/>
    </font>
    <font>
      <b/>
      <u/>
      <sz val="11"/>
      <name val="Arial"/>
      <family val="2"/>
    </font>
    <font>
      <b/>
      <sz val="11"/>
      <color rgb="FFFFFFFF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4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4"/>
      <color rgb="FFFFFFFF"/>
      <name val="Calibri"/>
      <family val="2"/>
      <scheme val="minor"/>
    </font>
    <font>
      <sz val="14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  <font>
      <u val="singleAccounting"/>
      <sz val="14"/>
      <color rgb="FF0000FF"/>
      <name val="Calibri"/>
      <family val="2"/>
      <scheme val="minor"/>
    </font>
    <font>
      <b/>
      <sz val="14"/>
      <color rgb="FF006400"/>
      <name val="Calibri"/>
      <family val="2"/>
      <scheme val="minor"/>
    </font>
    <font>
      <b/>
      <sz val="10"/>
      <color rgb="FF0064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0" fontId="7" fillId="0" borderId="0" applyAlignment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0" xfId="0" applyFont="1" applyFill="1"/>
    <xf numFmtId="164" fontId="4" fillId="0" borderId="0" xfId="0" applyNumberFormat="1" applyFont="1"/>
    <xf numFmtId="0" fontId="4" fillId="0" borderId="0" xfId="0" applyFont="1"/>
    <xf numFmtId="165" fontId="4" fillId="0" borderId="0" xfId="0" applyNumberFormat="1" applyFont="1"/>
    <xf numFmtId="0" fontId="8" fillId="0" borderId="0" xfId="3" applyFont="1"/>
    <xf numFmtId="0" fontId="9" fillId="0" borderId="0" xfId="3" applyFont="1" applyAlignment="1">
      <alignment horizontal="left" vertical="top"/>
    </xf>
    <xf numFmtId="0" fontId="10" fillId="0" borderId="0" xfId="3" applyFont="1" applyAlignment="1">
      <alignment horizontal="left" vertical="top"/>
    </xf>
    <xf numFmtId="166" fontId="8" fillId="0" borderId="0" xfId="3" applyNumberFormat="1" applyFont="1"/>
    <xf numFmtId="164" fontId="8" fillId="0" borderId="0" xfId="3" applyNumberFormat="1" applyFont="1"/>
    <xf numFmtId="44" fontId="3" fillId="0" borderId="0" xfId="0" applyNumberFormat="1" applyFont="1"/>
    <xf numFmtId="165" fontId="8" fillId="0" borderId="0" xfId="1" applyNumberFormat="1" applyFont="1" applyAlignment="1">
      <alignment vertical="center"/>
    </xf>
    <xf numFmtId="166" fontId="10" fillId="0" borderId="0" xfId="3" applyNumberFormat="1" applyFont="1" applyAlignment="1">
      <alignment horizontal="right" vertical="center" wrapText="1"/>
    </xf>
    <xf numFmtId="0" fontId="10" fillId="0" borderId="0" xfId="3" applyFont="1" applyAlignment="1">
      <alignment horizontal="left" vertical="center"/>
    </xf>
    <xf numFmtId="0" fontId="14" fillId="0" borderId="0" xfId="0" quotePrefix="1" applyFont="1"/>
    <xf numFmtId="0" fontId="15" fillId="0" borderId="0" xfId="3" applyFont="1"/>
    <xf numFmtId="0" fontId="16" fillId="0" borderId="0" xfId="3" applyFont="1" applyAlignment="1">
      <alignment horizontal="right"/>
    </xf>
    <xf numFmtId="169" fontId="10" fillId="0" borderId="0" xfId="2" applyNumberFormat="1" applyFont="1" applyAlignment="1">
      <alignment horizontal="right" vertical="center" wrapText="1"/>
    </xf>
    <xf numFmtId="169" fontId="10" fillId="0" borderId="0" xfId="3" applyNumberFormat="1" applyFont="1" applyAlignment="1">
      <alignment horizontal="right" vertical="center" wrapText="1"/>
    </xf>
    <xf numFmtId="169" fontId="9" fillId="0" borderId="2" xfId="3" applyNumberFormat="1" applyFont="1" applyBorder="1" applyAlignment="1">
      <alignment horizontal="right" vertical="center" wrapText="1"/>
    </xf>
    <xf numFmtId="169" fontId="9" fillId="0" borderId="0" xfId="3" applyNumberFormat="1" applyFont="1" applyAlignment="1">
      <alignment horizontal="right" vertical="center" wrapText="1"/>
    </xf>
    <xf numFmtId="169" fontId="11" fillId="0" borderId="4" xfId="3" applyNumberFormat="1" applyFont="1" applyBorder="1" applyAlignment="1">
      <alignment horizontal="right" vertical="center" wrapText="1"/>
    </xf>
    <xf numFmtId="169" fontId="10" fillId="0" borderId="1" xfId="3" applyNumberFormat="1" applyFont="1" applyBorder="1" applyAlignment="1">
      <alignment horizontal="right" vertical="center" wrapText="1"/>
    </xf>
    <xf numFmtId="169" fontId="12" fillId="0" borderId="0" xfId="3" applyNumberFormat="1" applyFont="1" applyAlignment="1">
      <alignment horizontal="right" vertical="center" wrapText="1"/>
    </xf>
    <xf numFmtId="169" fontId="11" fillId="0" borderId="4" xfId="2" applyNumberFormat="1" applyFont="1" applyBorder="1" applyAlignment="1">
      <alignment horizontal="right" vertical="center" wrapText="1"/>
    </xf>
    <xf numFmtId="169" fontId="8" fillId="3" borderId="0" xfId="1" applyNumberFormat="1" applyFont="1" applyFill="1" applyAlignment="1">
      <alignment vertical="center"/>
    </xf>
    <xf numFmtId="169" fontId="8" fillId="3" borderId="0" xfId="2" applyNumberFormat="1" applyFont="1" applyFill="1" applyAlignment="1">
      <alignment vertical="center"/>
    </xf>
    <xf numFmtId="169" fontId="13" fillId="3" borderId="0" xfId="2" applyNumberFormat="1" applyFont="1" applyFill="1" applyAlignment="1">
      <alignment vertical="center"/>
    </xf>
    <xf numFmtId="169" fontId="8" fillId="3" borderId="0" xfId="1" applyNumberFormat="1" applyFont="1" applyFill="1" applyBorder="1" applyAlignment="1">
      <alignment vertical="center"/>
    </xf>
    <xf numFmtId="169" fontId="8" fillId="3" borderId="5" xfId="1" applyNumberFormat="1" applyFont="1" applyFill="1" applyBorder="1" applyAlignment="1">
      <alignment vertical="center"/>
    </xf>
    <xf numFmtId="169" fontId="11" fillId="3" borderId="4" xfId="3" applyNumberFormat="1" applyFont="1" applyFill="1" applyBorder="1" applyAlignment="1">
      <alignment horizontal="right" vertical="center" wrapText="1"/>
    </xf>
    <xf numFmtId="169" fontId="9" fillId="3" borderId="0" xfId="3" applyNumberFormat="1" applyFont="1" applyFill="1" applyBorder="1" applyAlignment="1">
      <alignment horizontal="right" vertical="center" wrapText="1"/>
    </xf>
    <xf numFmtId="169" fontId="12" fillId="3" borderId="0" xfId="3" applyNumberFormat="1" applyFont="1" applyFill="1" applyAlignment="1">
      <alignment horizontal="right" vertical="center" wrapText="1"/>
    </xf>
    <xf numFmtId="169" fontId="11" fillId="3" borderId="4" xfId="2" applyNumberFormat="1" applyFont="1" applyFill="1" applyBorder="1" applyAlignment="1">
      <alignment horizontal="right" vertical="center" wrapText="1"/>
    </xf>
    <xf numFmtId="0" fontId="17" fillId="0" borderId="0" xfId="3" applyFont="1"/>
    <xf numFmtId="0" fontId="18" fillId="0" borderId="5" xfId="3" applyFont="1" applyBorder="1" applyAlignment="1">
      <alignment horizontal="center"/>
    </xf>
    <xf numFmtId="0" fontId="18" fillId="3" borderId="5" xfId="3" applyFont="1" applyFill="1" applyBorder="1" applyAlignment="1">
      <alignment horizontal="center"/>
    </xf>
    <xf numFmtId="0" fontId="19" fillId="4" borderId="0" xfId="3" applyFont="1" applyFill="1" applyAlignment="1">
      <alignment horizontal="left" vertical="top"/>
    </xf>
    <xf numFmtId="0" fontId="20" fillId="0" borderId="0" xfId="3" applyFont="1"/>
    <xf numFmtId="0" fontId="21" fillId="0" borderId="0" xfId="3" applyFont="1"/>
    <xf numFmtId="0" fontId="22" fillId="4" borderId="0" xfId="0" applyFont="1" applyFill="1"/>
    <xf numFmtId="0" fontId="23" fillId="3" borderId="0" xfId="0" applyFont="1" applyFill="1"/>
    <xf numFmtId="0" fontId="25" fillId="3" borderId="0" xfId="0" applyFont="1" applyFill="1"/>
    <xf numFmtId="0" fontId="24" fillId="3" borderId="0" xfId="0" applyFont="1" applyFill="1"/>
    <xf numFmtId="0" fontId="26" fillId="0" borderId="0" xfId="0" applyFont="1"/>
    <xf numFmtId="0" fontId="27" fillId="4" borderId="0" xfId="0" applyFont="1" applyFill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/>
    </xf>
    <xf numFmtId="169" fontId="29" fillId="0" borderId="0" xfId="0" applyNumberFormat="1" applyFont="1"/>
    <xf numFmtId="0" fontId="3" fillId="0" borderId="0" xfId="0" applyFont="1" applyAlignment="1">
      <alignment horizontal="center"/>
    </xf>
    <xf numFmtId="169" fontId="3" fillId="0" borderId="0" xfId="0" applyNumberFormat="1" applyFont="1"/>
    <xf numFmtId="0" fontId="2" fillId="0" borderId="3" xfId="0" applyFont="1" applyBorder="1" applyAlignment="1">
      <alignment horizontal="center"/>
    </xf>
    <xf numFmtId="169" fontId="2" fillId="0" borderId="3" xfId="0" applyNumberFormat="1" applyFont="1" applyBorder="1"/>
    <xf numFmtId="169" fontId="28" fillId="3" borderId="0" xfId="2" applyNumberFormat="1" applyFont="1" applyFill="1"/>
    <xf numFmtId="169" fontId="28" fillId="3" borderId="0" xfId="1" applyNumberFormat="1" applyFont="1" applyFill="1"/>
    <xf numFmtId="169" fontId="28" fillId="3" borderId="0" xfId="1" applyNumberFormat="1" applyFont="1" applyFill="1" applyBorder="1"/>
    <xf numFmtId="169" fontId="2" fillId="3" borderId="4" xfId="0" applyNumberFormat="1" applyFont="1" applyFill="1" applyBorder="1"/>
    <xf numFmtId="169" fontId="28" fillId="3" borderId="0" xfId="2" applyNumberFormat="1" applyFont="1" applyFill="1" applyBorder="1"/>
    <xf numFmtId="169" fontId="30" fillId="3" borderId="0" xfId="1" applyNumberFormat="1" applyFont="1" applyFill="1" applyBorder="1"/>
    <xf numFmtId="0" fontId="22" fillId="4" borderId="0" xfId="0" applyFont="1" applyFill="1" applyAlignment="1">
      <alignment horizontal="center"/>
    </xf>
    <xf numFmtId="169" fontId="28" fillId="3" borderId="0" xfId="0" applyNumberFormat="1" applyFont="1" applyFill="1"/>
    <xf numFmtId="0" fontId="4" fillId="0" borderId="0" xfId="0" applyFont="1" applyBorder="1"/>
    <xf numFmtId="169" fontId="28" fillId="3" borderId="0" xfId="0" applyNumberFormat="1" applyFont="1" applyFill="1" applyBorder="1"/>
    <xf numFmtId="0" fontId="31" fillId="0" borderId="0" xfId="0" applyFont="1" applyAlignment="1">
      <alignment horizontal="right"/>
    </xf>
    <xf numFmtId="0" fontId="32" fillId="0" borderId="0" xfId="0" applyFont="1"/>
    <xf numFmtId="0" fontId="5" fillId="0" borderId="0" xfId="0" applyFont="1"/>
    <xf numFmtId="0" fontId="33" fillId="0" borderId="0" xfId="0" applyFont="1" applyFill="1"/>
  </cellXfs>
  <cellStyles count="5">
    <cellStyle name="Comma" xfId="1" builtinId="3"/>
    <cellStyle name="Currency" xfId="2" builtinId="4"/>
    <cellStyle name="Invisible" xfId="4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5</xdr:row>
      <xdr:rowOff>28575</xdr:rowOff>
    </xdr:from>
    <xdr:to>
      <xdr:col>12</xdr:col>
      <xdr:colOff>257175</xdr:colOff>
      <xdr:row>16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9100" y="1025525"/>
          <a:ext cx="7153275" cy="265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Mid Town Capital ("MID"), a private equity firm, is considering the purchase  of American Tool </a:t>
          </a:r>
          <a:r>
            <a:rPr lang="en-US" sz="1100" baseline="0"/>
            <a:t>Corp.</a:t>
          </a:r>
          <a:r>
            <a:rPr lang="en-US" sz="1100"/>
            <a:t>("ATC") a</a:t>
          </a:r>
          <a:r>
            <a:rPr lang="en-US" sz="1100" baseline="0"/>
            <a:t> manufacturer of specialty tools for various industries.  </a:t>
          </a:r>
        </a:p>
        <a:p>
          <a:endParaRPr lang="en-US" sz="1100" baseline="0"/>
        </a:p>
        <a:p>
          <a:r>
            <a:rPr lang="en-US" sz="1100"/>
            <a:t>This investment will be made out of MID's investment fund.  </a:t>
          </a:r>
          <a:r>
            <a:rPr lang="en-US" sz="1100" baseline="0"/>
            <a:t>It plans to purchase ATC for $500 million for 100% of the stock of ATC.  It will be financed with debt of 40% of the purchase price and the other 60% will consist of common stock.  Transaction expenses will total $15 million which will be funded through common equity.  The debt financing will consist of a $260 million term loan.  Existing debt will be repaid with borrowing under the new term loan.</a:t>
          </a:r>
        </a:p>
        <a:p>
          <a:endParaRPr lang="en-US" sz="1100" baseline="0"/>
        </a:p>
        <a:p>
          <a:r>
            <a:rPr lang="en-US" sz="1100" baseline="0"/>
            <a:t>Fixed assets are undervalued by $60 million and trade name, patents and customer relationships have an aggregate fair value of $95 million.  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B3FBC3-E372-42EF-8889-76C789F1AF68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4"/>
  <sheetViews>
    <sheetView workbookViewId="0">
      <selection activeCell="B3" sqref="B3"/>
    </sheetView>
  </sheetViews>
  <sheetFormatPr defaultColWidth="8.7265625" defaultRowHeight="18.5" x14ac:dyDescent="0.45"/>
  <cols>
    <col min="1" max="1" width="45.453125" style="2" customWidth="1"/>
    <col min="2" max="16384" width="8.7265625" style="2"/>
  </cols>
  <sheetData>
    <row r="1" spans="1:2" x14ac:dyDescent="0.45">
      <c r="B1" s="68"/>
    </row>
    <row r="2" spans="1:2" ht="23.25" customHeight="1" x14ac:dyDescent="0.45">
      <c r="A2" s="69"/>
      <c r="B2" s="68"/>
    </row>
    <row r="3" spans="1:2" x14ac:dyDescent="0.45">
      <c r="A3" s="43" t="s">
        <v>48</v>
      </c>
    </row>
    <row r="4" spans="1:2" x14ac:dyDescent="0.45">
      <c r="A4" s="44" t="s">
        <v>38</v>
      </c>
    </row>
  </sheetData>
  <pageMargins left="0.7" right="0.7" top="0.75" bottom="0.75" header="0.3" footer="0.3"/>
  <pageSetup orientation="landscape" r:id="rId1"/>
  <headerFooter>
    <oddFooter>&amp;CLBO - Transaction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28"/>
  <sheetViews>
    <sheetView tabSelected="1" topLeftCell="A4" zoomScale="66" zoomScaleNormal="66" workbookViewId="0">
      <selection activeCell="G25" sqref="G25"/>
    </sheetView>
  </sheetViews>
  <sheetFormatPr defaultColWidth="8.7265625" defaultRowHeight="18.5" x14ac:dyDescent="0.45"/>
  <cols>
    <col min="1" max="1" width="40" style="2" customWidth="1"/>
    <col min="2" max="2" width="29.08984375" style="2" customWidth="1"/>
    <col min="3" max="3" width="17.36328125" style="2" customWidth="1"/>
    <col min="4" max="7" width="15.453125" style="2" customWidth="1"/>
    <col min="8" max="16384" width="8.7265625" style="2"/>
  </cols>
  <sheetData>
    <row r="1" spans="1:7" ht="23.25" customHeight="1" x14ac:dyDescent="0.45">
      <c r="A1" s="42" t="s">
        <v>0</v>
      </c>
    </row>
    <row r="2" spans="1:7" x14ac:dyDescent="0.45">
      <c r="A2" s="45" t="str">
        <f>Transaction!A3</f>
        <v>AMERICAN TOOL CORP.</v>
      </c>
    </row>
    <row r="3" spans="1:7" x14ac:dyDescent="0.45">
      <c r="A3" s="46" t="s">
        <v>56</v>
      </c>
      <c r="F3" s="50" t="s">
        <v>52</v>
      </c>
      <c r="G3" s="51">
        <v>500</v>
      </c>
    </row>
    <row r="4" spans="1:7" x14ac:dyDescent="0.45">
      <c r="F4" s="52" t="s">
        <v>53</v>
      </c>
      <c r="G4" s="53">
        <f>'Balance Sheet'!B32</f>
        <v>140</v>
      </c>
    </row>
    <row r="5" spans="1:7" x14ac:dyDescent="0.45">
      <c r="F5" s="54" t="s">
        <v>54</v>
      </c>
      <c r="G5" s="55">
        <f>G3-G4</f>
        <v>360</v>
      </c>
    </row>
    <row r="6" spans="1:7" x14ac:dyDescent="0.45">
      <c r="B6" s="47" t="s">
        <v>1</v>
      </c>
    </row>
    <row r="7" spans="1:7" x14ac:dyDescent="0.45">
      <c r="B7" s="48" t="s">
        <v>39</v>
      </c>
      <c r="F7" s="56">
        <f>G3*0.6+F14</f>
        <v>315</v>
      </c>
    </row>
    <row r="8" spans="1:7" x14ac:dyDescent="0.45">
      <c r="B8" s="48" t="s">
        <v>51</v>
      </c>
      <c r="F8" s="58">
        <v>260</v>
      </c>
    </row>
    <row r="9" spans="1:7" ht="19" thickBot="1" x14ac:dyDescent="0.5">
      <c r="B9" s="49" t="s">
        <v>2</v>
      </c>
      <c r="F9" s="59">
        <f>F7+F8</f>
        <v>575</v>
      </c>
    </row>
    <row r="10" spans="1:7" ht="19" thickTop="1" x14ac:dyDescent="0.45">
      <c r="F10" s="67" t="str">
        <f>IF(ROUND(F9-F15,2)=0,"✓ Balanced","✗ Out of Balance")</f>
        <v>✓ Balanced</v>
      </c>
    </row>
    <row r="11" spans="1:7" x14ac:dyDescent="0.45">
      <c r="B11" s="47" t="s">
        <v>3</v>
      </c>
    </row>
    <row r="12" spans="1:7" x14ac:dyDescent="0.45">
      <c r="B12" s="48" t="s">
        <v>4</v>
      </c>
      <c r="F12" s="60">
        <f>G3</f>
        <v>500</v>
      </c>
    </row>
    <row r="13" spans="1:7" x14ac:dyDescent="0.45">
      <c r="B13" s="48" t="s">
        <v>5</v>
      </c>
      <c r="F13" s="58">
        <f>'Balance Sheet'!B21+'Balance Sheet'!B25</f>
        <v>60</v>
      </c>
    </row>
    <row r="14" spans="1:7" ht="21.5" x14ac:dyDescent="0.75">
      <c r="B14" s="48" t="s">
        <v>6</v>
      </c>
      <c r="F14" s="61">
        <v>15</v>
      </c>
    </row>
    <row r="15" spans="1:7" ht="19" thickBot="1" x14ac:dyDescent="0.5">
      <c r="B15" s="49" t="s">
        <v>7</v>
      </c>
      <c r="F15" s="59">
        <f>SUM(F12:F14)</f>
        <v>575</v>
      </c>
    </row>
    <row r="16" spans="1:7" ht="19" thickTop="1" x14ac:dyDescent="0.45"/>
    <row r="17" spans="1:6" x14ac:dyDescent="0.45">
      <c r="A17" s="42" t="s">
        <v>8</v>
      </c>
      <c r="B17" s="3"/>
      <c r="C17" s="3"/>
      <c r="D17" s="62" t="s">
        <v>9</v>
      </c>
      <c r="E17" s="62" t="s">
        <v>10</v>
      </c>
    </row>
    <row r="18" spans="1:6" x14ac:dyDescent="0.45">
      <c r="A18" s="2" t="s">
        <v>40</v>
      </c>
      <c r="D18" s="63">
        <v>60</v>
      </c>
      <c r="E18" s="5"/>
    </row>
    <row r="19" spans="1:6" x14ac:dyDescent="0.45">
      <c r="A19" s="2" t="s">
        <v>41</v>
      </c>
      <c r="D19" s="57">
        <v>85</v>
      </c>
      <c r="E19" s="5"/>
    </row>
    <row r="20" spans="1:6" x14ac:dyDescent="0.45">
      <c r="A20" s="2" t="s">
        <v>21</v>
      </c>
      <c r="D20" s="57">
        <f>G5-D18-D19</f>
        <v>215</v>
      </c>
      <c r="E20" s="5"/>
    </row>
    <row r="21" spans="1:6" x14ac:dyDescent="0.45">
      <c r="A21" s="2" t="s">
        <v>42</v>
      </c>
      <c r="D21" s="63">
        <f>'Balance Sheet'!B32</f>
        <v>140</v>
      </c>
      <c r="E21" s="4"/>
    </row>
    <row r="22" spans="1:6" x14ac:dyDescent="0.45">
      <c r="A22" s="2" t="s">
        <v>43</v>
      </c>
      <c r="D22" s="63">
        <f>F13</f>
        <v>60</v>
      </c>
      <c r="E22" s="5"/>
    </row>
    <row r="23" spans="1:6" x14ac:dyDescent="0.45">
      <c r="A23" s="2" t="s">
        <v>13</v>
      </c>
      <c r="D23" s="63">
        <f>F14</f>
        <v>15</v>
      </c>
      <c r="E23" s="5"/>
    </row>
    <row r="24" spans="1:6" x14ac:dyDescent="0.45">
      <c r="A24" s="2" t="s">
        <v>44</v>
      </c>
      <c r="D24" s="6"/>
      <c r="E24" s="63">
        <v>260</v>
      </c>
    </row>
    <row r="25" spans="1:6" x14ac:dyDescent="0.45">
      <c r="A25" s="2" t="s">
        <v>14</v>
      </c>
      <c r="D25" s="64"/>
      <c r="E25" s="65">
        <f>F7</f>
        <v>315</v>
      </c>
    </row>
    <row r="26" spans="1:6" ht="19" thickBot="1" x14ac:dyDescent="0.5">
      <c r="D26" s="59">
        <f>SUM(D18:D23)</f>
        <v>575</v>
      </c>
      <c r="E26" s="59">
        <f>SUM(E24:E25)</f>
        <v>575</v>
      </c>
    </row>
    <row r="27" spans="1:6" ht="19" thickTop="1" x14ac:dyDescent="0.45"/>
    <row r="28" spans="1:6" x14ac:dyDescent="0.45">
      <c r="A28" s="1" t="s">
        <v>55</v>
      </c>
      <c r="D28" s="66" t="str">
        <f>IF(ROUND(D26-E26,2)=0,"✓ Balanced","✗ Out of Balance")</f>
        <v>✓ Balanced</v>
      </c>
      <c r="F28" s="12"/>
    </row>
  </sheetData>
  <printOptions horizontalCentered="1"/>
  <pageMargins left="0.7" right="0.7" top="0.75" bottom="0.75" header="0.3" footer="0.3"/>
  <pageSetup scale="85" orientation="landscape" r:id="rId1"/>
  <headerFooter>
    <oddFooter>&amp;CLBO - Sources/Uses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/>
  </sheetPr>
  <dimension ref="A1:F37"/>
  <sheetViews>
    <sheetView showGridLines="0" topLeftCell="A12" zoomScale="66" workbookViewId="0">
      <selection activeCell="E37" sqref="E37"/>
    </sheetView>
  </sheetViews>
  <sheetFormatPr defaultRowHeight="18.5" customHeight="1" x14ac:dyDescent="0.3"/>
  <cols>
    <col min="1" max="1" width="36.36328125" style="7" customWidth="1"/>
    <col min="2" max="5" width="15.453125" style="7" customWidth="1"/>
    <col min="6" max="6" width="9.7265625" style="7" bestFit="1" customWidth="1"/>
    <col min="7" max="256" width="8.7265625" style="7"/>
    <col min="257" max="257" width="45.81640625" style="7" customWidth="1"/>
    <col min="258" max="258" width="14.81640625" style="7" customWidth="1"/>
    <col min="259" max="512" width="8.7265625" style="7"/>
    <col min="513" max="513" width="45.81640625" style="7" customWidth="1"/>
    <col min="514" max="514" width="14.81640625" style="7" customWidth="1"/>
    <col min="515" max="768" width="8.7265625" style="7"/>
    <col min="769" max="769" width="45.81640625" style="7" customWidth="1"/>
    <col min="770" max="770" width="14.81640625" style="7" customWidth="1"/>
    <col min="771" max="1024" width="8.7265625" style="7"/>
    <col min="1025" max="1025" width="45.81640625" style="7" customWidth="1"/>
    <col min="1026" max="1026" width="14.81640625" style="7" customWidth="1"/>
    <col min="1027" max="1280" width="8.7265625" style="7"/>
    <col min="1281" max="1281" width="45.81640625" style="7" customWidth="1"/>
    <col min="1282" max="1282" width="14.81640625" style="7" customWidth="1"/>
    <col min="1283" max="1536" width="8.7265625" style="7"/>
    <col min="1537" max="1537" width="45.81640625" style="7" customWidth="1"/>
    <col min="1538" max="1538" width="14.81640625" style="7" customWidth="1"/>
    <col min="1539" max="1792" width="8.7265625" style="7"/>
    <col min="1793" max="1793" width="45.81640625" style="7" customWidth="1"/>
    <col min="1794" max="1794" width="14.81640625" style="7" customWidth="1"/>
    <col min="1795" max="2048" width="8.7265625" style="7"/>
    <col min="2049" max="2049" width="45.81640625" style="7" customWidth="1"/>
    <col min="2050" max="2050" width="14.81640625" style="7" customWidth="1"/>
    <col min="2051" max="2304" width="8.7265625" style="7"/>
    <col min="2305" max="2305" width="45.81640625" style="7" customWidth="1"/>
    <col min="2306" max="2306" width="14.81640625" style="7" customWidth="1"/>
    <col min="2307" max="2560" width="8.7265625" style="7"/>
    <col min="2561" max="2561" width="45.81640625" style="7" customWidth="1"/>
    <col min="2562" max="2562" width="14.81640625" style="7" customWidth="1"/>
    <col min="2563" max="2816" width="8.7265625" style="7"/>
    <col min="2817" max="2817" width="45.81640625" style="7" customWidth="1"/>
    <col min="2818" max="2818" width="14.81640625" style="7" customWidth="1"/>
    <col min="2819" max="3072" width="8.7265625" style="7"/>
    <col min="3073" max="3073" width="45.81640625" style="7" customWidth="1"/>
    <col min="3074" max="3074" width="14.81640625" style="7" customWidth="1"/>
    <col min="3075" max="3328" width="8.7265625" style="7"/>
    <col min="3329" max="3329" width="45.81640625" style="7" customWidth="1"/>
    <col min="3330" max="3330" width="14.81640625" style="7" customWidth="1"/>
    <col min="3331" max="3584" width="8.7265625" style="7"/>
    <col min="3585" max="3585" width="45.81640625" style="7" customWidth="1"/>
    <col min="3586" max="3586" width="14.81640625" style="7" customWidth="1"/>
    <col min="3587" max="3840" width="8.7265625" style="7"/>
    <col min="3841" max="3841" width="45.81640625" style="7" customWidth="1"/>
    <col min="3842" max="3842" width="14.81640625" style="7" customWidth="1"/>
    <col min="3843" max="4096" width="8.7265625" style="7"/>
    <col min="4097" max="4097" width="45.81640625" style="7" customWidth="1"/>
    <col min="4098" max="4098" width="14.81640625" style="7" customWidth="1"/>
    <col min="4099" max="4352" width="8.7265625" style="7"/>
    <col min="4353" max="4353" width="45.81640625" style="7" customWidth="1"/>
    <col min="4354" max="4354" width="14.81640625" style="7" customWidth="1"/>
    <col min="4355" max="4608" width="8.7265625" style="7"/>
    <col min="4609" max="4609" width="45.81640625" style="7" customWidth="1"/>
    <col min="4610" max="4610" width="14.81640625" style="7" customWidth="1"/>
    <col min="4611" max="4864" width="8.7265625" style="7"/>
    <col min="4865" max="4865" width="45.81640625" style="7" customWidth="1"/>
    <col min="4866" max="4866" width="14.81640625" style="7" customWidth="1"/>
    <col min="4867" max="5120" width="8.7265625" style="7"/>
    <col min="5121" max="5121" width="45.81640625" style="7" customWidth="1"/>
    <col min="5122" max="5122" width="14.81640625" style="7" customWidth="1"/>
    <col min="5123" max="5376" width="8.7265625" style="7"/>
    <col min="5377" max="5377" width="45.81640625" style="7" customWidth="1"/>
    <col min="5378" max="5378" width="14.81640625" style="7" customWidth="1"/>
    <col min="5379" max="5632" width="8.7265625" style="7"/>
    <col min="5633" max="5633" width="45.81640625" style="7" customWidth="1"/>
    <col min="5634" max="5634" width="14.81640625" style="7" customWidth="1"/>
    <col min="5635" max="5888" width="8.7265625" style="7"/>
    <col min="5889" max="5889" width="45.81640625" style="7" customWidth="1"/>
    <col min="5890" max="5890" width="14.81640625" style="7" customWidth="1"/>
    <col min="5891" max="6144" width="8.7265625" style="7"/>
    <col min="6145" max="6145" width="45.81640625" style="7" customWidth="1"/>
    <col min="6146" max="6146" width="14.81640625" style="7" customWidth="1"/>
    <col min="6147" max="6400" width="8.7265625" style="7"/>
    <col min="6401" max="6401" width="45.81640625" style="7" customWidth="1"/>
    <col min="6402" max="6402" width="14.81640625" style="7" customWidth="1"/>
    <col min="6403" max="6656" width="8.7265625" style="7"/>
    <col min="6657" max="6657" width="45.81640625" style="7" customWidth="1"/>
    <col min="6658" max="6658" width="14.81640625" style="7" customWidth="1"/>
    <col min="6659" max="6912" width="8.7265625" style="7"/>
    <col min="6913" max="6913" width="45.81640625" style="7" customWidth="1"/>
    <col min="6914" max="6914" width="14.81640625" style="7" customWidth="1"/>
    <col min="6915" max="7168" width="8.7265625" style="7"/>
    <col min="7169" max="7169" width="45.81640625" style="7" customWidth="1"/>
    <col min="7170" max="7170" width="14.81640625" style="7" customWidth="1"/>
    <col min="7171" max="7424" width="8.7265625" style="7"/>
    <col min="7425" max="7425" width="45.81640625" style="7" customWidth="1"/>
    <col min="7426" max="7426" width="14.81640625" style="7" customWidth="1"/>
    <col min="7427" max="7680" width="8.7265625" style="7"/>
    <col min="7681" max="7681" width="45.81640625" style="7" customWidth="1"/>
    <col min="7682" max="7682" width="14.81640625" style="7" customWidth="1"/>
    <col min="7683" max="7936" width="8.7265625" style="7"/>
    <col min="7937" max="7937" width="45.81640625" style="7" customWidth="1"/>
    <col min="7938" max="7938" width="14.81640625" style="7" customWidth="1"/>
    <col min="7939" max="8192" width="8.7265625" style="7"/>
    <col min="8193" max="8193" width="45.81640625" style="7" customWidth="1"/>
    <col min="8194" max="8194" width="14.81640625" style="7" customWidth="1"/>
    <col min="8195" max="8448" width="8.7265625" style="7"/>
    <col min="8449" max="8449" width="45.81640625" style="7" customWidth="1"/>
    <col min="8450" max="8450" width="14.81640625" style="7" customWidth="1"/>
    <col min="8451" max="8704" width="8.7265625" style="7"/>
    <col min="8705" max="8705" width="45.81640625" style="7" customWidth="1"/>
    <col min="8706" max="8706" width="14.81640625" style="7" customWidth="1"/>
    <col min="8707" max="8960" width="8.7265625" style="7"/>
    <col min="8961" max="8961" width="45.81640625" style="7" customWidth="1"/>
    <col min="8962" max="8962" width="14.81640625" style="7" customWidth="1"/>
    <col min="8963" max="9216" width="8.7265625" style="7"/>
    <col min="9217" max="9217" width="45.81640625" style="7" customWidth="1"/>
    <col min="9218" max="9218" width="14.81640625" style="7" customWidth="1"/>
    <col min="9219" max="9472" width="8.7265625" style="7"/>
    <col min="9473" max="9473" width="45.81640625" style="7" customWidth="1"/>
    <col min="9474" max="9474" width="14.81640625" style="7" customWidth="1"/>
    <col min="9475" max="9728" width="8.7265625" style="7"/>
    <col min="9729" max="9729" width="45.81640625" style="7" customWidth="1"/>
    <col min="9730" max="9730" width="14.81640625" style="7" customWidth="1"/>
    <col min="9731" max="9984" width="8.7265625" style="7"/>
    <col min="9985" max="9985" width="45.81640625" style="7" customWidth="1"/>
    <col min="9986" max="9986" width="14.81640625" style="7" customWidth="1"/>
    <col min="9987" max="10240" width="8.7265625" style="7"/>
    <col min="10241" max="10241" width="45.81640625" style="7" customWidth="1"/>
    <col min="10242" max="10242" width="14.81640625" style="7" customWidth="1"/>
    <col min="10243" max="10496" width="8.7265625" style="7"/>
    <col min="10497" max="10497" width="45.81640625" style="7" customWidth="1"/>
    <col min="10498" max="10498" width="14.81640625" style="7" customWidth="1"/>
    <col min="10499" max="10752" width="8.7265625" style="7"/>
    <col min="10753" max="10753" width="45.81640625" style="7" customWidth="1"/>
    <col min="10754" max="10754" width="14.81640625" style="7" customWidth="1"/>
    <col min="10755" max="11008" width="8.7265625" style="7"/>
    <col min="11009" max="11009" width="45.81640625" style="7" customWidth="1"/>
    <col min="11010" max="11010" width="14.81640625" style="7" customWidth="1"/>
    <col min="11011" max="11264" width="8.7265625" style="7"/>
    <col min="11265" max="11265" width="45.81640625" style="7" customWidth="1"/>
    <col min="11266" max="11266" width="14.81640625" style="7" customWidth="1"/>
    <col min="11267" max="11520" width="8.7265625" style="7"/>
    <col min="11521" max="11521" width="45.81640625" style="7" customWidth="1"/>
    <col min="11522" max="11522" width="14.81640625" style="7" customWidth="1"/>
    <col min="11523" max="11776" width="8.7265625" style="7"/>
    <col min="11777" max="11777" width="45.81640625" style="7" customWidth="1"/>
    <col min="11778" max="11778" width="14.81640625" style="7" customWidth="1"/>
    <col min="11779" max="12032" width="8.7265625" style="7"/>
    <col min="12033" max="12033" width="45.81640625" style="7" customWidth="1"/>
    <col min="12034" max="12034" width="14.81640625" style="7" customWidth="1"/>
    <col min="12035" max="12288" width="8.7265625" style="7"/>
    <col min="12289" max="12289" width="45.81640625" style="7" customWidth="1"/>
    <col min="12290" max="12290" width="14.81640625" style="7" customWidth="1"/>
    <col min="12291" max="12544" width="8.7265625" style="7"/>
    <col min="12545" max="12545" width="45.81640625" style="7" customWidth="1"/>
    <col min="12546" max="12546" width="14.81640625" style="7" customWidth="1"/>
    <col min="12547" max="12800" width="8.7265625" style="7"/>
    <col min="12801" max="12801" width="45.81640625" style="7" customWidth="1"/>
    <col min="12802" max="12802" width="14.81640625" style="7" customWidth="1"/>
    <col min="12803" max="13056" width="8.7265625" style="7"/>
    <col min="13057" max="13057" width="45.81640625" style="7" customWidth="1"/>
    <col min="13058" max="13058" width="14.81640625" style="7" customWidth="1"/>
    <col min="13059" max="13312" width="8.7265625" style="7"/>
    <col min="13313" max="13313" width="45.81640625" style="7" customWidth="1"/>
    <col min="13314" max="13314" width="14.81640625" style="7" customWidth="1"/>
    <col min="13315" max="13568" width="8.7265625" style="7"/>
    <col min="13569" max="13569" width="45.81640625" style="7" customWidth="1"/>
    <col min="13570" max="13570" width="14.81640625" style="7" customWidth="1"/>
    <col min="13571" max="13824" width="8.7265625" style="7"/>
    <col min="13825" max="13825" width="45.81640625" style="7" customWidth="1"/>
    <col min="13826" max="13826" width="14.81640625" style="7" customWidth="1"/>
    <col min="13827" max="14080" width="8.7265625" style="7"/>
    <col min="14081" max="14081" width="45.81640625" style="7" customWidth="1"/>
    <col min="14082" max="14082" width="14.81640625" style="7" customWidth="1"/>
    <col min="14083" max="14336" width="8.7265625" style="7"/>
    <col min="14337" max="14337" width="45.81640625" style="7" customWidth="1"/>
    <col min="14338" max="14338" width="14.81640625" style="7" customWidth="1"/>
    <col min="14339" max="14592" width="8.7265625" style="7"/>
    <col min="14593" max="14593" width="45.81640625" style="7" customWidth="1"/>
    <col min="14594" max="14594" width="14.81640625" style="7" customWidth="1"/>
    <col min="14595" max="14848" width="8.7265625" style="7"/>
    <col min="14849" max="14849" width="45.81640625" style="7" customWidth="1"/>
    <col min="14850" max="14850" width="14.81640625" style="7" customWidth="1"/>
    <col min="14851" max="15104" width="8.7265625" style="7"/>
    <col min="15105" max="15105" width="45.81640625" style="7" customWidth="1"/>
    <col min="15106" max="15106" width="14.81640625" style="7" customWidth="1"/>
    <col min="15107" max="15360" width="8.7265625" style="7"/>
    <col min="15361" max="15361" width="45.81640625" style="7" customWidth="1"/>
    <col min="15362" max="15362" width="14.81640625" style="7" customWidth="1"/>
    <col min="15363" max="15616" width="8.7265625" style="7"/>
    <col min="15617" max="15617" width="45.81640625" style="7" customWidth="1"/>
    <col min="15618" max="15618" width="14.81640625" style="7" customWidth="1"/>
    <col min="15619" max="15872" width="8.7265625" style="7"/>
    <col min="15873" max="15873" width="45.81640625" style="7" customWidth="1"/>
    <col min="15874" max="15874" width="14.81640625" style="7" customWidth="1"/>
    <col min="15875" max="16128" width="8.7265625" style="7"/>
    <col min="16129" max="16129" width="45.81640625" style="7" customWidth="1"/>
    <col min="16130" max="16130" width="14.81640625" style="7" customWidth="1"/>
    <col min="16131" max="16384" width="8.7265625" style="7"/>
  </cols>
  <sheetData>
    <row r="1" spans="1:6" ht="18.5" customHeight="1" x14ac:dyDescent="0.4">
      <c r="A1" s="40" t="str">
        <f>Transaction!A3</f>
        <v>AMERICAN TOOL CORP.</v>
      </c>
    </row>
    <row r="2" spans="1:6" ht="18.5" customHeight="1" x14ac:dyDescent="0.35">
      <c r="A2" s="41" t="s">
        <v>35</v>
      </c>
    </row>
    <row r="3" spans="1:6" ht="18.5" customHeight="1" x14ac:dyDescent="0.3">
      <c r="A3" s="36" t="s">
        <v>56</v>
      </c>
      <c r="B3" s="37" t="s">
        <v>36</v>
      </c>
      <c r="C3" s="37" t="s">
        <v>9</v>
      </c>
      <c r="D3" s="37" t="s">
        <v>10</v>
      </c>
      <c r="E3" s="38" t="s">
        <v>37</v>
      </c>
    </row>
    <row r="4" spans="1:6" ht="18.5" customHeight="1" x14ac:dyDescent="0.3">
      <c r="A4" s="39" t="s">
        <v>15</v>
      </c>
      <c r="B4" s="9"/>
    </row>
    <row r="5" spans="1:6" ht="18.5" customHeight="1" x14ac:dyDescent="0.3">
      <c r="A5" s="9" t="s">
        <v>16</v>
      </c>
      <c r="B5" s="19">
        <v>25</v>
      </c>
      <c r="C5" s="13"/>
      <c r="D5" s="13"/>
      <c r="E5" s="28">
        <f>B5</f>
        <v>25</v>
      </c>
    </row>
    <row r="6" spans="1:6" ht="18.5" customHeight="1" x14ac:dyDescent="0.3">
      <c r="A6" s="9" t="s">
        <v>17</v>
      </c>
      <c r="B6" s="20">
        <v>50</v>
      </c>
      <c r="C6" s="13"/>
      <c r="D6" s="13"/>
      <c r="E6" s="28">
        <f>B6</f>
        <v>50</v>
      </c>
    </row>
    <row r="7" spans="1:6" ht="18.5" customHeight="1" x14ac:dyDescent="0.3">
      <c r="A7" s="9" t="s">
        <v>18</v>
      </c>
      <c r="B7" s="20">
        <v>75</v>
      </c>
      <c r="C7" s="13"/>
      <c r="D7" s="13"/>
      <c r="E7" s="28">
        <f>B7</f>
        <v>75</v>
      </c>
    </row>
    <row r="8" spans="1:6" ht="18.5" customHeight="1" x14ac:dyDescent="0.3">
      <c r="A8" s="9" t="s">
        <v>19</v>
      </c>
      <c r="B8" s="20">
        <v>5</v>
      </c>
      <c r="C8" s="13"/>
      <c r="D8" s="13"/>
      <c r="E8" s="28">
        <f>B8</f>
        <v>5</v>
      </c>
    </row>
    <row r="9" spans="1:6" ht="18.5" customHeight="1" x14ac:dyDescent="0.3">
      <c r="A9" s="8" t="s">
        <v>20</v>
      </c>
      <c r="B9" s="21">
        <f>SUM(B5:B8)</f>
        <v>155</v>
      </c>
      <c r="C9" s="13"/>
      <c r="D9" s="13"/>
      <c r="E9" s="29">
        <f>SUM(E5:E8)</f>
        <v>155</v>
      </c>
    </row>
    <row r="10" spans="1:6" ht="18.5" customHeight="1" x14ac:dyDescent="0.3">
      <c r="A10" s="9"/>
      <c r="B10" s="15"/>
      <c r="C10" s="13"/>
      <c r="D10" s="13"/>
      <c r="E10" s="13"/>
    </row>
    <row r="11" spans="1:6" ht="18.5" customHeight="1" x14ac:dyDescent="0.3">
      <c r="A11" s="9" t="s">
        <v>34</v>
      </c>
      <c r="B11" s="22">
        <v>175</v>
      </c>
      <c r="C11" s="27">
        <f>'Sources Uses'!D18</f>
        <v>60</v>
      </c>
      <c r="D11" s="13"/>
      <c r="E11" s="27">
        <f>B11+C11</f>
        <v>235</v>
      </c>
    </row>
    <row r="12" spans="1:6" ht="18.5" customHeight="1" x14ac:dyDescent="0.3">
      <c r="A12" s="9"/>
      <c r="B12" s="15"/>
      <c r="C12" s="13"/>
      <c r="D12" s="13"/>
      <c r="E12" s="13"/>
    </row>
    <row r="13" spans="1:6" ht="18.5" customHeight="1" x14ac:dyDescent="0.3">
      <c r="A13" s="9" t="s">
        <v>21</v>
      </c>
      <c r="B13" s="20">
        <v>0</v>
      </c>
      <c r="C13" s="27">
        <f>'Sources Uses'!D20</f>
        <v>215</v>
      </c>
      <c r="D13" s="13"/>
      <c r="E13" s="27">
        <f>C13</f>
        <v>215</v>
      </c>
    </row>
    <row r="14" spans="1:6" ht="18.5" customHeight="1" x14ac:dyDescent="0.3">
      <c r="A14" s="9" t="s">
        <v>45</v>
      </c>
      <c r="B14" s="20">
        <v>10</v>
      </c>
      <c r="C14" s="27">
        <f>'Sources Uses'!D19</f>
        <v>85</v>
      </c>
      <c r="D14" s="13"/>
      <c r="E14" s="27">
        <f>B14+C14</f>
        <v>95</v>
      </c>
    </row>
    <row r="15" spans="1:6" ht="18.5" customHeight="1" x14ac:dyDescent="0.3">
      <c r="A15" s="9" t="s">
        <v>22</v>
      </c>
      <c r="B15" s="20">
        <v>5</v>
      </c>
      <c r="C15" s="27">
        <f>'Sources Uses'!F14</f>
        <v>15</v>
      </c>
      <c r="D15" s="13"/>
      <c r="E15" s="30">
        <f>B15+C15</f>
        <v>20</v>
      </c>
      <c r="F15" s="16" t="s">
        <v>46</v>
      </c>
    </row>
    <row r="16" spans="1:6" ht="18.5" customHeight="1" thickBot="1" x14ac:dyDescent="0.35">
      <c r="A16" s="8" t="s">
        <v>23</v>
      </c>
      <c r="B16" s="23">
        <f>SUM(B11:B15)+B9</f>
        <v>345</v>
      </c>
      <c r="C16" s="13"/>
      <c r="D16" s="13"/>
      <c r="E16" s="32">
        <f>E9+SUM(E11,E13:E15)</f>
        <v>720</v>
      </c>
    </row>
    <row r="17" spans="1:6" ht="18.5" customHeight="1" thickTop="1" x14ac:dyDescent="0.3">
      <c r="A17" s="9"/>
      <c r="B17" s="15"/>
      <c r="C17" s="13"/>
      <c r="D17" s="13"/>
      <c r="E17" s="13"/>
    </row>
    <row r="18" spans="1:6" ht="18.5" customHeight="1" x14ac:dyDescent="0.3">
      <c r="A18" s="39" t="s">
        <v>24</v>
      </c>
      <c r="B18" s="15"/>
      <c r="C18" s="13"/>
      <c r="D18" s="13"/>
      <c r="E18" s="13"/>
    </row>
    <row r="19" spans="1:6" ht="18.5" customHeight="1" x14ac:dyDescent="0.3">
      <c r="A19" s="9" t="s">
        <v>25</v>
      </c>
      <c r="B19" s="20">
        <v>95</v>
      </c>
      <c r="C19" s="13"/>
      <c r="D19" s="13"/>
      <c r="E19" s="27">
        <f>B19</f>
        <v>95</v>
      </c>
    </row>
    <row r="20" spans="1:6" ht="18.5" customHeight="1" x14ac:dyDescent="0.3">
      <c r="A20" s="9" t="s">
        <v>26</v>
      </c>
      <c r="B20" s="20">
        <v>35</v>
      </c>
      <c r="C20" s="13"/>
      <c r="D20" s="13"/>
      <c r="E20" s="27">
        <f>B20</f>
        <v>35</v>
      </c>
      <c r="F20" s="10"/>
    </row>
    <row r="21" spans="1:6" ht="18.5" customHeight="1" x14ac:dyDescent="0.3">
      <c r="A21" s="9" t="s">
        <v>49</v>
      </c>
      <c r="B21" s="20">
        <v>10</v>
      </c>
      <c r="C21" s="27">
        <v>10</v>
      </c>
      <c r="D21" s="13"/>
      <c r="E21" s="27">
        <f>B21-C21</f>
        <v>0</v>
      </c>
      <c r="F21" s="11"/>
    </row>
    <row r="22" spans="1:6" ht="18.5" customHeight="1" x14ac:dyDescent="0.3">
      <c r="A22" s="9" t="s">
        <v>27</v>
      </c>
      <c r="B22" s="20">
        <v>5</v>
      </c>
      <c r="C22" s="13"/>
      <c r="D22" s="13"/>
      <c r="E22" s="31">
        <f>B22</f>
        <v>5</v>
      </c>
    </row>
    <row r="23" spans="1:6" ht="18.5" customHeight="1" x14ac:dyDescent="0.3">
      <c r="A23" s="8" t="s">
        <v>28</v>
      </c>
      <c r="B23" s="21">
        <f>SUM(B19:B22)</f>
        <v>145</v>
      </c>
      <c r="C23" s="13"/>
      <c r="D23" s="13"/>
      <c r="E23" s="33">
        <f>SUM(E19:E22)</f>
        <v>135</v>
      </c>
    </row>
    <row r="24" spans="1:6" ht="18.5" customHeight="1" x14ac:dyDescent="0.3">
      <c r="A24" s="9"/>
      <c r="B24" s="15"/>
      <c r="C24" s="13"/>
      <c r="D24" s="13"/>
      <c r="E24" s="13"/>
    </row>
    <row r="25" spans="1:6" ht="18.5" customHeight="1" x14ac:dyDescent="0.3">
      <c r="A25" s="9" t="s">
        <v>29</v>
      </c>
      <c r="B25" s="20">
        <v>50</v>
      </c>
      <c r="C25" s="27">
        <v>50</v>
      </c>
      <c r="D25" s="13"/>
      <c r="E25" s="27">
        <f>B25-C25</f>
        <v>0</v>
      </c>
    </row>
    <row r="26" spans="1:6" ht="18.5" customHeight="1" x14ac:dyDescent="0.3">
      <c r="A26" s="9" t="s">
        <v>50</v>
      </c>
      <c r="B26" s="14"/>
      <c r="C26" s="13"/>
      <c r="D26" s="27">
        <f>'Sources Uses'!E24</f>
        <v>260</v>
      </c>
      <c r="E26" s="27">
        <f>D26</f>
        <v>260</v>
      </c>
    </row>
    <row r="27" spans="1:6" ht="18.5" customHeight="1" x14ac:dyDescent="0.3">
      <c r="A27" s="9" t="s">
        <v>30</v>
      </c>
      <c r="B27" s="20">
        <v>10</v>
      </c>
      <c r="C27" s="13"/>
      <c r="D27" s="13"/>
      <c r="E27" s="31">
        <f>B27</f>
        <v>10</v>
      </c>
    </row>
    <row r="28" spans="1:6" ht="18.5" customHeight="1" x14ac:dyDescent="0.3">
      <c r="A28" s="8" t="s">
        <v>31</v>
      </c>
      <c r="B28" s="21">
        <f>SUM(B23:B27)</f>
        <v>205</v>
      </c>
      <c r="C28" s="13"/>
      <c r="D28" s="13"/>
      <c r="E28" s="33">
        <f>E23+SUM(E25:E27)</f>
        <v>405</v>
      </c>
    </row>
    <row r="29" spans="1:6" ht="18.5" customHeight="1" x14ac:dyDescent="0.3">
      <c r="A29" s="39" t="s">
        <v>57</v>
      </c>
      <c r="B29" s="15"/>
      <c r="C29" s="13"/>
      <c r="D29" s="13"/>
      <c r="E29" s="13"/>
    </row>
    <row r="30" spans="1:6" ht="18.5" customHeight="1" x14ac:dyDescent="0.3">
      <c r="A30" s="9" t="s">
        <v>11</v>
      </c>
      <c r="B30" s="20">
        <v>20</v>
      </c>
      <c r="C30" s="27">
        <v>20</v>
      </c>
      <c r="D30" s="27">
        <f>'Sources Uses'!E25</f>
        <v>315</v>
      </c>
      <c r="E30" s="27">
        <f>D30</f>
        <v>315</v>
      </c>
    </row>
    <row r="31" spans="1:6" ht="18.5" customHeight="1" x14ac:dyDescent="0.3">
      <c r="A31" s="9" t="s">
        <v>12</v>
      </c>
      <c r="B31" s="24">
        <v>120</v>
      </c>
      <c r="C31" s="27">
        <v>120</v>
      </c>
      <c r="D31" s="13"/>
      <c r="E31" s="31">
        <f>B31-C31</f>
        <v>0</v>
      </c>
    </row>
    <row r="32" spans="1:6" ht="18.5" customHeight="1" x14ac:dyDescent="0.3">
      <c r="A32" s="8" t="s">
        <v>32</v>
      </c>
      <c r="B32" s="25">
        <f>SUM(B30:B31)</f>
        <v>140</v>
      </c>
      <c r="C32" s="13"/>
      <c r="D32" s="13"/>
      <c r="E32" s="34">
        <f>SUM(E30:E31)</f>
        <v>315</v>
      </c>
    </row>
    <row r="33" spans="1:5" ht="18.5" customHeight="1" x14ac:dyDescent="0.35">
      <c r="A33" s="9"/>
      <c r="B33" s="15"/>
      <c r="C33" s="13"/>
      <c r="D33" s="13"/>
      <c r="E33"/>
    </row>
    <row r="34" spans="1:5" ht="18.5" customHeight="1" thickBot="1" x14ac:dyDescent="0.35">
      <c r="A34" s="8" t="s">
        <v>33</v>
      </c>
      <c r="B34" s="26">
        <f>B28+B32</f>
        <v>345</v>
      </c>
      <c r="C34" s="13"/>
      <c r="D34" s="13"/>
      <c r="E34" s="35">
        <f>E28+E32</f>
        <v>720</v>
      </c>
    </row>
    <row r="35" spans="1:5" ht="18.5" customHeight="1" thickTop="1" x14ac:dyDescent="0.3">
      <c r="A35" s="16" t="s">
        <v>47</v>
      </c>
    </row>
    <row r="37" spans="1:5" ht="18.5" customHeight="1" x14ac:dyDescent="0.3">
      <c r="A37" s="17" t="s">
        <v>55</v>
      </c>
      <c r="E37" s="18" t="str">
        <f>IF(ROUND(E16-E34,2)=0,"✓ Balanced","✗ Out of Balance by "&amp;TEXT(E16-E34,"$#,##0"))</f>
        <v>✓ Balanced</v>
      </c>
    </row>
  </sheetData>
  <pageMargins left="0.2" right="0.2" top="0.5" bottom="0.5" header="0.5" footer="0.5"/>
  <pageSetup scale="70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Transaction</vt:lpstr>
      <vt:lpstr>Sources Uses</vt:lpstr>
      <vt:lpstr>Balance Sheet</vt:lpstr>
      <vt:lpstr>'Balance Sheet'!Print_Area</vt:lpstr>
      <vt:lpstr>'Sources Uses'!Print_Area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 5637</dc:title>
  <dc:creator>thomas kenny</dc:creator>
  <cp:keywords>CLASSWORK</cp:keywords>
  <cp:lastModifiedBy>Prabin Pandey</cp:lastModifiedBy>
  <cp:lastPrinted>2019-11-17T03:42:24Z</cp:lastPrinted>
  <dcterms:created xsi:type="dcterms:W3CDTF">2019-11-17T02:50:13Z</dcterms:created>
  <dcterms:modified xsi:type="dcterms:W3CDTF">2026-02-23T16:15:28Z</dcterms:modified>
</cp:coreProperties>
</file>